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95f2dd16d76e9e/Desktop/"/>
    </mc:Choice>
  </mc:AlternateContent>
  <xr:revisionPtr revIDLastSave="203" documentId="8_{C4B491B0-4360-486B-AA02-781A48BC085B}" xr6:coauthVersionLast="47" xr6:coauthVersionMax="47" xr10:uidLastSave="{DD939B73-9A14-400C-8506-711D2ABC0E46}"/>
  <bookViews>
    <workbookView xWindow="-108" yWindow="-108" windowWidth="23256" windowHeight="12456" activeTab="3" xr2:uid="{CA658FF1-FBDC-4BA9-AB98-7EE29769A16A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4" l="1"/>
  <c r="F12" i="4"/>
  <c r="D7" i="4"/>
  <c r="C7" i="4"/>
  <c r="B7" i="4"/>
  <c r="L14" i="3"/>
  <c r="I36" i="3"/>
  <c r="I37" i="3"/>
  <c r="L15" i="3" s="1"/>
  <c r="I38" i="3"/>
  <c r="L16" i="3" s="1"/>
  <c r="I39" i="3"/>
  <c r="I40" i="3" s="1"/>
  <c r="F14" i="4" l="1"/>
  <c r="F16" i="4" s="1"/>
  <c r="I41" i="3"/>
  <c r="L17" i="3"/>
  <c r="L18" i="3" s="1"/>
  <c r="I42" i="3" l="1"/>
  <c r="L19" i="3"/>
  <c r="L20" i="3" l="1"/>
  <c r="I43" i="3"/>
  <c r="I44" i="3" l="1"/>
  <c r="L21" i="3"/>
  <c r="I45" i="3" l="1"/>
  <c r="L22" i="3"/>
  <c r="I46" i="3" l="1"/>
  <c r="L23" i="3"/>
  <c r="I47" i="3" l="1"/>
  <c r="L24" i="3"/>
  <c r="L25" i="3" l="1"/>
  <c r="I48" i="3"/>
  <c r="I49" i="3" l="1"/>
  <c r="L26" i="3"/>
  <c r="I50" i="3" l="1"/>
  <c r="L27" i="3"/>
  <c r="L28" i="3" l="1"/>
  <c r="I51" i="3"/>
  <c r="I52" i="3" l="1"/>
  <c r="L29" i="3"/>
  <c r="L30" i="3" l="1"/>
  <c r="I53" i="3"/>
  <c r="L31" i="3" l="1"/>
  <c r="I54" i="3"/>
  <c r="I55" i="3" l="1"/>
  <c r="L32" i="3"/>
  <c r="L33" i="3" l="1"/>
  <c r="I56" i="3"/>
  <c r="L34" i="3" l="1"/>
  <c r="I57" i="3"/>
  <c r="I58" i="3" l="1"/>
  <c r="L35" i="3"/>
  <c r="L36" i="3" l="1"/>
  <c r="I59" i="3"/>
  <c r="I60" i="3" l="1"/>
  <c r="L37" i="3"/>
  <c r="I61" i="3" l="1"/>
  <c r="L38" i="3"/>
  <c r="L39" i="3" l="1"/>
  <c r="I62" i="3"/>
  <c r="L40" i="3" l="1"/>
  <c r="I63" i="3"/>
  <c r="L41" i="3" l="1"/>
  <c r="I64" i="3"/>
  <c r="L42" i="3" l="1"/>
  <c r="I65" i="3"/>
  <c r="I66" i="3" l="1"/>
  <c r="L43" i="3"/>
  <c r="L44" i="3" l="1"/>
  <c r="I67" i="3"/>
  <c r="I68" i="3" l="1"/>
  <c r="L45" i="3"/>
  <c r="L46" i="3" l="1"/>
  <c r="I69" i="3"/>
  <c r="L47" i="3" l="1"/>
  <c r="I70" i="3"/>
  <c r="L48" i="3" l="1"/>
  <c r="I71" i="3"/>
  <c r="L49" i="3" l="1"/>
  <c r="I72" i="3"/>
  <c r="I73" i="3" l="1"/>
  <c r="L50" i="3"/>
  <c r="I74" i="3" l="1"/>
  <c r="L51" i="3"/>
  <c r="I75" i="3" l="1"/>
  <c r="L52" i="3"/>
  <c r="L53" i="3" l="1"/>
</calcChain>
</file>

<file path=xl/sharedStrings.xml><?xml version="1.0" encoding="utf-8"?>
<sst xmlns="http://schemas.openxmlformats.org/spreadsheetml/2006/main" count="323" uniqueCount="92">
  <si>
    <t>John hauls prayers,</t>
  </si>
  <si>
    <t>hurrah, joyless nap</t>
  </si>
  <si>
    <t>pushy rajah enrols</t>
  </si>
  <si>
    <t>Quarter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</si>
  <si>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</si>
  <si>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</si>
  <si>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</si>
  <si>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</si>
  <si>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</si>
  <si>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</si>
  <si>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</si>
  <si>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</si>
  <si>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</si>
  <si>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</si>
  <si>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</si>
  <si>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</si>
  <si>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</si>
  <si>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</si>
  <si>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</si>
  <si>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</si>
  <si>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</si>
  <si>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</si>
  <si>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</si>
  <si>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</si>
  <si>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</si>
  <si>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</si>
  <si>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</si>
  <si>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</si>
  <si>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</si>
  <si>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</si>
  <si>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</si>
  <si>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</si>
  <si>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</si>
  <si>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</si>
  <si>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</si>
  <si>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</si>
  <si>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</si>
  <si>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</si>
  <si>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</si>
  <si>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</si>
  <si>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</si>
  <si>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</si>
  <si>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</si>
  <si>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</si>
  <si>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</si>
  <si>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</si>
  <si>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</si>
  <si>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</si>
  <si>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</si>
  <si>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</si>
  <si>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</si>
  <si>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</si>
  <si>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</si>
  <si>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</si>
  <si>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</si>
  <si>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</si>
  <si>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2030Q1</t>
  </si>
  <si>
    <t>2030Q2</t>
  </si>
  <si>
    <t>2030Q3</t>
  </si>
  <si>
    <t>2030Q4</t>
  </si>
  <si>
    <t>2031Q1</t>
  </si>
  <si>
    <t>2031Q2</t>
  </si>
  <si>
    <t>2031Q3</t>
  </si>
  <si>
    <t>2031Q4</t>
  </si>
  <si>
    <t>2032Q1</t>
  </si>
  <si>
    <t>2032Q2</t>
  </si>
  <si>
    <t>2032Q3</t>
  </si>
  <si>
    <t>2032Q4</t>
  </si>
  <si>
    <t>2033Q1</t>
  </si>
  <si>
    <t>2033Q2</t>
  </si>
  <si>
    <t>2033Q3</t>
  </si>
  <si>
    <t>2033Q4</t>
  </si>
  <si>
    <t>2034Q1</t>
  </si>
  <si>
    <t>2034Q2</t>
  </si>
  <si>
    <t>2034Q3</t>
  </si>
  <si>
    <t>2034Q4</t>
  </si>
  <si>
    <t>2035Q1</t>
  </si>
  <si>
    <t>2035Q2</t>
  </si>
  <si>
    <t>Actual</t>
  </si>
  <si>
    <t>"Rebasing" of Texas GDP</t>
  </si>
  <si>
    <t>Forecast</t>
  </si>
  <si>
    <t>Forecast Total Bankruptcy Amount for 202601 Using Data from 2025Q4</t>
  </si>
  <si>
    <t>Expected Calculation:</t>
  </si>
  <si>
    <t xml:space="preserve">Average Number of Monthly Bankruptcies = (10 + 1 + 4) / 3 = </t>
  </si>
  <si>
    <t>Total Monthly Bankruptcy Amount</t>
  </si>
  <si>
    <t>Total # of Monthly Bankruptcies</t>
  </si>
  <si>
    <t>Average Amount Per Bankruptcy</t>
  </si>
  <si>
    <t xml:space="preserve">Average of Average Amount Per Bankruptcy = ($30,000 + $100,000 + $20,000) / 3 = </t>
  </si>
  <si>
    <t>Forecasted Amount = $36,000 * 5 =</t>
  </si>
  <si>
    <t>Bankruptcy Actuals for 2025Q4 by Month</t>
  </si>
  <si>
    <t>Existing Calculation:</t>
  </si>
  <si>
    <t xml:space="preserve">Average of Total Monthly Bankruptcy Amounts = ($30,000 + $100,000 + $20,000) / 3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</si>
</sst>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9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4" fillId="0" borderId="0" xfId="0" quotePrefix="1" applyFont="1" applyAlignment="1">
      <alignment horizontal="centerContinuous"/>
    </xf>
    <xf numFmtId="0" fontId="5" fillId="0" borderId="0" xfId="0" applyFont="1" applyAlignment="1">
      <alignment horizontal="centerContinuous"/>
    </xf>
    <xf numFmtId="169" fontId="0" fillId="0" borderId="0" xfId="1" applyNumberFormat="1" applyFont="1"/>
    <xf numFmtId="0" fontId="0" fillId="0" borderId="0" xfId="0" applyAlignment="1">
      <alignment horizontal="right"/>
    </xf>
    <xf numFmtId="5" fontId="0" fillId="0" borderId="0" xfId="2" applyNumberFormat="1" applyFont="1"/>
    <xf numFmtId="0" fontId="2" fillId="0" borderId="0" xfId="0" quotePrefix="1" applyFont="1"/>
    <xf numFmtId="0" fontId="6" fillId="0" borderId="0" xfId="0" quotePrefix="1" applyFont="1"/>
    <xf numFmtId="5" fontId="2" fillId="0" borderId="0" xfId="2" applyNumberFormat="1" applyFont="1"/>
    <xf numFmtId="5" fontId="7" fillId="0" borderId="0" xfId="2" applyNumberFormat="1" applyFont="1"/>
    <xf numFmtId="5" fontId="6" fillId="0" borderId="0" xfId="2" applyNumberFormat="1" applyFont="1"/>
    <xf numFmtId="5" fontId="8" fillId="0" borderId="0" xfId="2" applyNumberFormat="1" applyFont="1"/>
    <xf numFmtId="0" fontId="3" fillId="0" borderId="0" xfId="0" applyFont="1"/>
    <xf numFmtId="0" fontId="2" fillId="0" borderId="0" xfId="0" applyFont="1"/>
    <xf numFmtId="169" fontId="3" fillId="0" borderId="0" xfId="0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1) Original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Sheet3!$A$2:$A$75</c:f>
              <c:strCache>
                <c:ptCount val="74"/>
                <c:pt idx="0">
                  <c:v>2017Q1</c:v>
                </c:pt>
                <c:pt idx="1">
                  <c:v>2017Q2</c:v>
                </c:pt>
                <c:pt idx="2">
                  <c:v>2017Q3</c:v>
                </c:pt>
                <c:pt idx="3">
                  <c:v>2017Q4</c:v>
                </c:pt>
                <c:pt idx="4">
                  <c:v>2018Q1</c:v>
                </c:pt>
                <c:pt idx="5">
                  <c:v>2018Q2</c:v>
                </c:pt>
                <c:pt idx="6">
                  <c:v>2018Q3</c:v>
                </c:pt>
                <c:pt idx="7">
                  <c:v>2018Q4</c:v>
                </c:pt>
                <c:pt idx="8">
                  <c:v>2019Q1</c:v>
                </c:pt>
                <c:pt idx="9">
                  <c:v>2019Q2</c:v>
                </c:pt>
                <c:pt idx="10">
                  <c:v>2019Q3</c:v>
                </c:pt>
                <c:pt idx="11">
                  <c:v>2019Q4</c:v>
                </c:pt>
                <c:pt idx="12">
                  <c:v>2020Q1</c:v>
                </c:pt>
                <c:pt idx="13">
                  <c:v>2020Q2</c:v>
                </c:pt>
                <c:pt idx="14">
                  <c:v>2020Q3</c:v>
                </c:pt>
                <c:pt idx="15">
                  <c:v>2020Q4</c:v>
                </c:pt>
                <c:pt idx="16">
                  <c:v>2021Q1</c:v>
                </c:pt>
                <c:pt idx="17">
                  <c:v>2021Q2</c:v>
                </c:pt>
                <c:pt idx="18">
                  <c:v>2021Q3</c:v>
                </c:pt>
                <c:pt idx="19">
                  <c:v>2021Q4</c:v>
                </c:pt>
                <c:pt idx="20">
                  <c:v>2022Q1</c:v>
                </c:pt>
                <c:pt idx="21">
                  <c:v>2022Q2</c:v>
                </c:pt>
                <c:pt idx="22">
                  <c:v>2022Q3</c:v>
                </c:pt>
                <c:pt idx="23">
                  <c:v>2022Q4</c:v>
                </c:pt>
                <c:pt idx="24">
                  <c:v>2023Q1</c:v>
                </c:pt>
                <c:pt idx="25">
                  <c:v>2023Q2</c:v>
                </c:pt>
                <c:pt idx="26">
                  <c:v>2023Q3</c:v>
                </c:pt>
                <c:pt idx="27">
                  <c:v>2023Q4</c:v>
                </c:pt>
                <c:pt idx="28">
                  <c:v>2024Q1</c:v>
                </c:pt>
                <c:pt idx="29">
                  <c:v>2024Q2</c:v>
                </c:pt>
                <c:pt idx="30">
                  <c:v>2024Q3</c:v>
                </c:pt>
                <c:pt idx="31">
                  <c:v>2024Q4</c:v>
                </c:pt>
                <c:pt idx="32">
                  <c:v>2025Q1</c:v>
                </c:pt>
                <c:pt idx="33">
                  <c:v>2025Q2</c:v>
                </c:pt>
                <c:pt idx="34">
                  <c:v>2025Q3</c:v>
                </c:pt>
                <c:pt idx="35">
                  <c:v>2025Q4</c:v>
                </c:pt>
                <c:pt idx="36">
                  <c:v>2026Q1</c:v>
                </c:pt>
                <c:pt idx="37">
                  <c:v>2026Q2</c:v>
                </c:pt>
                <c:pt idx="38">
                  <c:v>2026Q3</c:v>
                </c:pt>
                <c:pt idx="39">
                  <c:v>2026Q4</c:v>
                </c:pt>
                <c:pt idx="40">
                  <c:v>2027Q1</c:v>
                </c:pt>
                <c:pt idx="41">
                  <c:v>2027Q2</c:v>
                </c:pt>
                <c:pt idx="42">
                  <c:v>2027Q3</c:v>
                </c:pt>
                <c:pt idx="43">
                  <c:v>2027Q4</c:v>
                </c:pt>
                <c:pt idx="44">
                  <c:v>2028Q1</c:v>
                </c:pt>
                <c:pt idx="45">
                  <c:v>2028Q2</c:v>
                </c:pt>
                <c:pt idx="46">
                  <c:v>2028Q3</c:v>
                </c:pt>
                <c:pt idx="47">
                  <c:v>2028Q4</c:v>
                </c:pt>
                <c:pt idx="48">
                  <c:v>2029Q1</c:v>
                </c:pt>
                <c:pt idx="49">
                  <c:v>2029Q2</c:v>
                </c:pt>
                <c:pt idx="50">
                  <c:v>2029Q3</c:v>
                </c:pt>
                <c:pt idx="51">
                  <c:v>2029Q4</c:v>
                </c:pt>
                <c:pt idx="52">
                  <c:v>2030Q1</c:v>
                </c:pt>
                <c:pt idx="53">
                  <c:v>2030Q2</c:v>
                </c:pt>
                <c:pt idx="54">
                  <c:v>2030Q3</c:v>
                </c:pt>
                <c:pt idx="55">
                  <c:v>2030Q4</c:v>
                </c:pt>
                <c:pt idx="56">
                  <c:v>2031Q1</c:v>
                </c:pt>
                <c:pt idx="57">
                  <c:v>2031Q2</c:v>
                </c:pt>
                <c:pt idx="58">
                  <c:v>2031Q3</c:v>
                </c:pt>
                <c:pt idx="59">
                  <c:v>2031Q4</c:v>
                </c:pt>
                <c:pt idx="60">
                  <c:v>2032Q1</c:v>
                </c:pt>
                <c:pt idx="61">
                  <c:v>2032Q2</c:v>
                </c:pt>
                <c:pt idx="62">
                  <c:v>2032Q3</c:v>
                </c:pt>
                <c:pt idx="63">
                  <c:v>2032Q4</c:v>
                </c:pt>
                <c:pt idx="64">
                  <c:v>2033Q1</c:v>
                </c:pt>
                <c:pt idx="65">
                  <c:v>2033Q2</c:v>
                </c:pt>
                <c:pt idx="66">
                  <c:v>2033Q3</c:v>
                </c:pt>
                <c:pt idx="67">
                  <c:v>2033Q4</c:v>
                </c:pt>
                <c:pt idx="68">
                  <c:v>2034Q1</c:v>
                </c:pt>
                <c:pt idx="69">
                  <c:v>2034Q2</c:v>
                </c:pt>
                <c:pt idx="70">
                  <c:v>2034Q3</c:v>
                </c:pt>
                <c:pt idx="71">
                  <c:v>2034Q4</c:v>
                </c:pt>
                <c:pt idx="72">
                  <c:v>2035Q1</c:v>
                </c:pt>
                <c:pt idx="73">
                  <c:v>2035Q2</c:v>
                </c:pt>
              </c:strCache>
            </c:strRef>
          </c:cat>
          <c:val>
            <c:numRef>
              <c:f>Sheet3!$B$2:$B$75</c:f>
              <c:numCache>
                <c:formatCode>#,##0.00</c:formatCode>
                <c:ptCount val="74"/>
                <c:pt idx="0">
                  <c:v>1642860.4</c:v>
                </c:pt>
                <c:pt idx="1">
                  <c:v>1654182.7</c:v>
                </c:pt>
                <c:pt idx="2">
                  <c:v>1672558.3</c:v>
                </c:pt>
                <c:pt idx="3">
                  <c:v>1699650.7</c:v>
                </c:pt>
                <c:pt idx="4">
                  <c:v>1719792.7</c:v>
                </c:pt>
                <c:pt idx="5">
                  <c:v>1742497.8</c:v>
                </c:pt>
                <c:pt idx="6">
                  <c:v>1755960</c:v>
                </c:pt>
                <c:pt idx="7">
                  <c:v>1767922.5</c:v>
                </c:pt>
                <c:pt idx="8">
                  <c:v>1772384.2</c:v>
                </c:pt>
                <c:pt idx="9">
                  <c:v>1790077.5</c:v>
                </c:pt>
                <c:pt idx="10">
                  <c:v>1826002.2</c:v>
                </c:pt>
                <c:pt idx="11">
                  <c:v>1838480.4</c:v>
                </c:pt>
                <c:pt idx="12">
                  <c:v>1807085.1</c:v>
                </c:pt>
                <c:pt idx="13">
                  <c:v>1687609.8</c:v>
                </c:pt>
                <c:pt idx="14">
                  <c:v>1803693</c:v>
                </c:pt>
                <c:pt idx="15">
                  <c:v>1832565</c:v>
                </c:pt>
                <c:pt idx="16">
                  <c:v>1866112.8</c:v>
                </c:pt>
                <c:pt idx="17">
                  <c:v>1898855.4</c:v>
                </c:pt>
                <c:pt idx="18">
                  <c:v>1915349.8</c:v>
                </c:pt>
                <c:pt idx="19">
                  <c:v>1941731.7</c:v>
                </c:pt>
                <c:pt idx="20">
                  <c:v>1949201.5</c:v>
                </c:pt>
                <c:pt idx="21">
                  <c:v>1948982</c:v>
                </c:pt>
                <c:pt idx="22">
                  <c:v>1979467.7</c:v>
                </c:pt>
                <c:pt idx="23">
                  <c:v>2023005</c:v>
                </c:pt>
                <c:pt idx="24">
                  <c:v>2089240.6</c:v>
                </c:pt>
                <c:pt idx="25">
                  <c:v>2120627.5</c:v>
                </c:pt>
                <c:pt idx="26">
                  <c:v>2154934.7000000002</c:v>
                </c:pt>
                <c:pt idx="27">
                  <c:v>2185343.9</c:v>
                </c:pt>
                <c:pt idx="28">
                  <c:v>2181915.6</c:v>
                </c:pt>
                <c:pt idx="29">
                  <c:v>2212455.2999999998</c:v>
                </c:pt>
                <c:pt idx="30">
                  <c:v>2240377.7000000002</c:v>
                </c:pt>
                <c:pt idx="31">
                  <c:v>2253024.5</c:v>
                </c:pt>
                <c:pt idx="32">
                  <c:v>2235879.6</c:v>
                </c:pt>
                <c:pt idx="33">
                  <c:v>2272749.2999999998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2A-4DA4-88D8-9D652115C520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Sheet3!$A$2:$A$75</c:f>
              <c:strCache>
                <c:ptCount val="74"/>
                <c:pt idx="0">
                  <c:v>2017Q1</c:v>
                </c:pt>
                <c:pt idx="1">
                  <c:v>2017Q2</c:v>
                </c:pt>
                <c:pt idx="2">
                  <c:v>2017Q3</c:v>
                </c:pt>
                <c:pt idx="3">
                  <c:v>2017Q4</c:v>
                </c:pt>
                <c:pt idx="4">
                  <c:v>2018Q1</c:v>
                </c:pt>
                <c:pt idx="5">
                  <c:v>2018Q2</c:v>
                </c:pt>
                <c:pt idx="6">
                  <c:v>2018Q3</c:v>
                </c:pt>
                <c:pt idx="7">
                  <c:v>2018Q4</c:v>
                </c:pt>
                <c:pt idx="8">
                  <c:v>2019Q1</c:v>
                </c:pt>
                <c:pt idx="9">
                  <c:v>2019Q2</c:v>
                </c:pt>
                <c:pt idx="10">
                  <c:v>2019Q3</c:v>
                </c:pt>
                <c:pt idx="11">
                  <c:v>2019Q4</c:v>
                </c:pt>
                <c:pt idx="12">
                  <c:v>2020Q1</c:v>
                </c:pt>
                <c:pt idx="13">
                  <c:v>2020Q2</c:v>
                </c:pt>
                <c:pt idx="14">
                  <c:v>2020Q3</c:v>
                </c:pt>
                <c:pt idx="15">
                  <c:v>2020Q4</c:v>
                </c:pt>
                <c:pt idx="16">
                  <c:v>2021Q1</c:v>
                </c:pt>
                <c:pt idx="17">
                  <c:v>2021Q2</c:v>
                </c:pt>
                <c:pt idx="18">
                  <c:v>2021Q3</c:v>
                </c:pt>
                <c:pt idx="19">
                  <c:v>2021Q4</c:v>
                </c:pt>
                <c:pt idx="20">
                  <c:v>2022Q1</c:v>
                </c:pt>
                <c:pt idx="21">
                  <c:v>2022Q2</c:v>
                </c:pt>
                <c:pt idx="22">
                  <c:v>2022Q3</c:v>
                </c:pt>
                <c:pt idx="23">
                  <c:v>2022Q4</c:v>
                </c:pt>
                <c:pt idx="24">
                  <c:v>2023Q1</c:v>
                </c:pt>
                <c:pt idx="25">
                  <c:v>2023Q2</c:v>
                </c:pt>
                <c:pt idx="26">
                  <c:v>2023Q3</c:v>
                </c:pt>
                <c:pt idx="27">
                  <c:v>2023Q4</c:v>
                </c:pt>
                <c:pt idx="28">
                  <c:v>2024Q1</c:v>
                </c:pt>
                <c:pt idx="29">
                  <c:v>2024Q2</c:v>
                </c:pt>
                <c:pt idx="30">
                  <c:v>2024Q3</c:v>
                </c:pt>
                <c:pt idx="31">
                  <c:v>2024Q4</c:v>
                </c:pt>
                <c:pt idx="32">
                  <c:v>2025Q1</c:v>
                </c:pt>
                <c:pt idx="33">
                  <c:v>2025Q2</c:v>
                </c:pt>
                <c:pt idx="34">
                  <c:v>2025Q3</c:v>
                </c:pt>
                <c:pt idx="35">
                  <c:v>2025Q4</c:v>
                </c:pt>
                <c:pt idx="36">
                  <c:v>2026Q1</c:v>
                </c:pt>
                <c:pt idx="37">
                  <c:v>2026Q2</c:v>
                </c:pt>
                <c:pt idx="38">
                  <c:v>2026Q3</c:v>
                </c:pt>
                <c:pt idx="39">
                  <c:v>2026Q4</c:v>
                </c:pt>
                <c:pt idx="40">
                  <c:v>2027Q1</c:v>
                </c:pt>
                <c:pt idx="41">
                  <c:v>2027Q2</c:v>
                </c:pt>
                <c:pt idx="42">
                  <c:v>2027Q3</c:v>
                </c:pt>
                <c:pt idx="43">
                  <c:v>2027Q4</c:v>
                </c:pt>
                <c:pt idx="44">
                  <c:v>2028Q1</c:v>
                </c:pt>
                <c:pt idx="45">
                  <c:v>2028Q2</c:v>
                </c:pt>
                <c:pt idx="46">
                  <c:v>2028Q3</c:v>
                </c:pt>
                <c:pt idx="47">
                  <c:v>2028Q4</c:v>
                </c:pt>
                <c:pt idx="48">
                  <c:v>2029Q1</c:v>
                </c:pt>
                <c:pt idx="49">
                  <c:v>2029Q2</c:v>
                </c:pt>
                <c:pt idx="50">
                  <c:v>2029Q3</c:v>
                </c:pt>
                <c:pt idx="51">
                  <c:v>2029Q4</c:v>
                </c:pt>
                <c:pt idx="52">
                  <c:v>2030Q1</c:v>
                </c:pt>
                <c:pt idx="53">
                  <c:v>2030Q2</c:v>
                </c:pt>
                <c:pt idx="54">
                  <c:v>2030Q3</c:v>
                </c:pt>
                <c:pt idx="55">
                  <c:v>2030Q4</c:v>
                </c:pt>
                <c:pt idx="56">
                  <c:v>2031Q1</c:v>
                </c:pt>
                <c:pt idx="57">
                  <c:v>2031Q2</c:v>
                </c:pt>
                <c:pt idx="58">
                  <c:v>2031Q3</c:v>
                </c:pt>
                <c:pt idx="59">
                  <c:v>2031Q4</c:v>
                </c:pt>
                <c:pt idx="60">
                  <c:v>2032Q1</c:v>
                </c:pt>
                <c:pt idx="61">
                  <c:v>2032Q2</c:v>
                </c:pt>
                <c:pt idx="62">
                  <c:v>2032Q3</c:v>
                </c:pt>
                <c:pt idx="63">
                  <c:v>2032Q4</c:v>
                </c:pt>
                <c:pt idx="64">
                  <c:v>2033Q1</c:v>
                </c:pt>
                <c:pt idx="65">
                  <c:v>2033Q2</c:v>
                </c:pt>
                <c:pt idx="66">
                  <c:v>2033Q3</c:v>
                </c:pt>
                <c:pt idx="67">
                  <c:v>2033Q4</c:v>
                </c:pt>
                <c:pt idx="68">
                  <c:v>2034Q1</c:v>
                </c:pt>
                <c:pt idx="69">
                  <c:v>2034Q2</c:v>
                </c:pt>
                <c:pt idx="70">
                  <c:v>2034Q3</c:v>
                </c:pt>
                <c:pt idx="71">
                  <c:v>2034Q4</c:v>
                </c:pt>
                <c:pt idx="72">
                  <c:v>2035Q1</c:v>
                </c:pt>
                <c:pt idx="73">
                  <c:v>2035Q2</c:v>
                </c:pt>
              </c:strCache>
            </c:strRef>
          </c:cat>
          <c:val>
            <c:numRef>
              <c:f>Sheet3!$C$2:$C$75</c:f>
              <c:numCache>
                <c:formatCode>General</c:formatCode>
                <c:ptCount val="74"/>
                <c:pt idx="34" formatCode="#,##0.00">
                  <c:v>2306480</c:v>
                </c:pt>
                <c:pt idx="35" formatCode="#,##0.00">
                  <c:v>2326630</c:v>
                </c:pt>
                <c:pt idx="36" formatCode="#,##0.00">
                  <c:v>2364540</c:v>
                </c:pt>
                <c:pt idx="37" formatCode="#,##0.00">
                  <c:v>2422980</c:v>
                </c:pt>
                <c:pt idx="38" formatCode="#,##0.00">
                  <c:v>2441910</c:v>
                </c:pt>
                <c:pt idx="39" formatCode="#,##0.00">
                  <c:v>2460980</c:v>
                </c:pt>
                <c:pt idx="40" formatCode="#,##0.00">
                  <c:v>2523140</c:v>
                </c:pt>
                <c:pt idx="41" formatCode="#,##0.00">
                  <c:v>2567160</c:v>
                </c:pt>
                <c:pt idx="42" formatCode="#,##0.00">
                  <c:v>2581400</c:v>
                </c:pt>
                <c:pt idx="43" formatCode="#,##0.00">
                  <c:v>2620860</c:v>
                </c:pt>
                <c:pt idx="44" formatCode="#,##0.00">
                  <c:v>2635550</c:v>
                </c:pt>
                <c:pt idx="45" formatCode="#,##0.00">
                  <c:v>2650260</c:v>
                </c:pt>
                <c:pt idx="46" formatCode="#,##0.00">
                  <c:v>2683100</c:v>
                </c:pt>
                <c:pt idx="47" formatCode="#,##0.00">
                  <c:v>2660720</c:v>
                </c:pt>
                <c:pt idx="48" formatCode="#,##0.00">
                  <c:v>2643340</c:v>
                </c:pt>
                <c:pt idx="49" formatCode="#,##0.00">
                  <c:v>2655650</c:v>
                </c:pt>
                <c:pt idx="50" formatCode="#,##0.00">
                  <c:v>2656500</c:v>
                </c:pt>
                <c:pt idx="51" formatCode="#,##0.00">
                  <c:v>2691260</c:v>
                </c:pt>
                <c:pt idx="52" formatCode="#,##0.00">
                  <c:v>2694840</c:v>
                </c:pt>
                <c:pt idx="53" formatCode="#,##0.00">
                  <c:v>2685340</c:v>
                </c:pt>
                <c:pt idx="54" formatCode="#,##0.00">
                  <c:v>2750230</c:v>
                </c:pt>
                <c:pt idx="55" formatCode="#,##0.00">
                  <c:v>2771940</c:v>
                </c:pt>
                <c:pt idx="56" formatCode="#,##0.00">
                  <c:v>2801630</c:v>
                </c:pt>
                <c:pt idx="57" formatCode="#,##0.00">
                  <c:v>2791430</c:v>
                </c:pt>
                <c:pt idx="58" formatCode="#,##0.00">
                  <c:v>2804900</c:v>
                </c:pt>
                <c:pt idx="59" formatCode="#,##0.00">
                  <c:v>2836120</c:v>
                </c:pt>
                <c:pt idx="60" formatCode="#,##0.00">
                  <c:v>2833260</c:v>
                </c:pt>
                <c:pt idx="61" formatCode="#,##0.00">
                  <c:v>2872020</c:v>
                </c:pt>
                <c:pt idx="62" formatCode="#,##0.00">
                  <c:v>2884320</c:v>
                </c:pt>
                <c:pt idx="63" formatCode="#,##0.00">
                  <c:v>2905260</c:v>
                </c:pt>
                <c:pt idx="64" formatCode="#,##0.00">
                  <c:v>2917680</c:v>
                </c:pt>
                <c:pt idx="65" formatCode="#,##0.00">
                  <c:v>2999030</c:v>
                </c:pt>
                <c:pt idx="66" formatCode="#,##0.00">
                  <c:v>3028830</c:v>
                </c:pt>
                <c:pt idx="67" formatCode="#,##0.00">
                  <c:v>3028490</c:v>
                </c:pt>
                <c:pt idx="68" formatCode="#,##0.00">
                  <c:v>3082930</c:v>
                </c:pt>
                <c:pt idx="69" formatCode="#,##0.00">
                  <c:v>3077750</c:v>
                </c:pt>
                <c:pt idx="70" formatCode="#,##0.00">
                  <c:v>3114910</c:v>
                </c:pt>
                <c:pt idx="71" formatCode="#,##0.00">
                  <c:v>3087530</c:v>
                </c:pt>
                <c:pt idx="72" formatCode="#,##0.00">
                  <c:v>3079150</c:v>
                </c:pt>
                <c:pt idx="73" formatCode="#,##0.00">
                  <c:v>3115970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2A-4DA4-88D8-9D652115C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4961184"/>
        <c:axId val="1624958784"/>
      </c:lineChart>
      <c:catAx>
        <c:axId val="162496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958784"/>
        <c:crosses val="autoZero"/>
        <c:auto val="1"/>
        <c:lblAlgn val="ctr"/>
        <c:lblOffset val="100"/>
        <c:noMultiLvlLbl val="0"/>
      </c:catAx>
      <c:valAx>
        <c:axId val="162495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96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2) Removal</a:t>
            </a:r>
            <a:r>
              <a:rPr lang="en-US" baseline="0"/>
              <a:t> of Most Recent Actuals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Sheet3!$E$1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Sheet3!$D$2:$D$75</c:f>
              <c:strCache>
                <c:ptCount val="74"/>
                <c:pt idx="0">
                  <c:v>2017Q1</c:v>
                </c:pt>
                <c:pt idx="1">
                  <c:v>2017Q2</c:v>
                </c:pt>
                <c:pt idx="2">
                  <c:v>2017Q3</c:v>
                </c:pt>
                <c:pt idx="3">
                  <c:v>2017Q4</c:v>
                </c:pt>
                <c:pt idx="4">
                  <c:v>2018Q1</c:v>
                </c:pt>
                <c:pt idx="5">
                  <c:v>2018Q2</c:v>
                </c:pt>
                <c:pt idx="6">
                  <c:v>2018Q3</c:v>
                </c:pt>
                <c:pt idx="7">
                  <c:v>2018Q4</c:v>
                </c:pt>
                <c:pt idx="8">
                  <c:v>2019Q1</c:v>
                </c:pt>
                <c:pt idx="9">
                  <c:v>2019Q2</c:v>
                </c:pt>
                <c:pt idx="10">
                  <c:v>2019Q3</c:v>
                </c:pt>
                <c:pt idx="11">
                  <c:v>2019Q4</c:v>
                </c:pt>
                <c:pt idx="12">
                  <c:v>2020Q1</c:v>
                </c:pt>
                <c:pt idx="13">
                  <c:v>2020Q2</c:v>
                </c:pt>
                <c:pt idx="14">
                  <c:v>2020Q3</c:v>
                </c:pt>
                <c:pt idx="15">
                  <c:v>2020Q4</c:v>
                </c:pt>
                <c:pt idx="16">
                  <c:v>2021Q1</c:v>
                </c:pt>
                <c:pt idx="17">
                  <c:v>2021Q2</c:v>
                </c:pt>
                <c:pt idx="18">
                  <c:v>2021Q3</c:v>
                </c:pt>
                <c:pt idx="19">
                  <c:v>2021Q4</c:v>
                </c:pt>
                <c:pt idx="20">
                  <c:v>2022Q1</c:v>
                </c:pt>
                <c:pt idx="21">
                  <c:v>2022Q2</c:v>
                </c:pt>
                <c:pt idx="22">
                  <c:v>2022Q3</c:v>
                </c:pt>
                <c:pt idx="23">
                  <c:v>2022Q4</c:v>
                </c:pt>
                <c:pt idx="24">
                  <c:v>2023Q1</c:v>
                </c:pt>
                <c:pt idx="25">
                  <c:v>2023Q2</c:v>
                </c:pt>
                <c:pt idx="26">
                  <c:v>2023Q3</c:v>
                </c:pt>
                <c:pt idx="27">
                  <c:v>2023Q4</c:v>
                </c:pt>
                <c:pt idx="28">
                  <c:v>2024Q1</c:v>
                </c:pt>
                <c:pt idx="29">
                  <c:v>2024Q2</c:v>
                </c:pt>
                <c:pt idx="30">
                  <c:v>2024Q3</c:v>
                </c:pt>
                <c:pt idx="31">
                  <c:v>2024Q4</c:v>
                </c:pt>
                <c:pt idx="32">
                  <c:v>2025Q1</c:v>
                </c:pt>
                <c:pt idx="33">
                  <c:v>2025Q2</c:v>
                </c:pt>
                <c:pt idx="34">
                  <c:v>2025Q3</c:v>
                </c:pt>
                <c:pt idx="35">
                  <c:v>2025Q4</c:v>
                </c:pt>
                <c:pt idx="36">
                  <c:v>2026Q1</c:v>
                </c:pt>
                <c:pt idx="37">
                  <c:v>2026Q2</c:v>
                </c:pt>
                <c:pt idx="38">
                  <c:v>2026Q3</c:v>
                </c:pt>
                <c:pt idx="39">
                  <c:v>2026Q4</c:v>
                </c:pt>
                <c:pt idx="40">
                  <c:v>2027Q1</c:v>
                </c:pt>
                <c:pt idx="41">
                  <c:v>2027Q2</c:v>
                </c:pt>
                <c:pt idx="42">
                  <c:v>2027Q3</c:v>
                </c:pt>
                <c:pt idx="43">
                  <c:v>2027Q4</c:v>
                </c:pt>
                <c:pt idx="44">
                  <c:v>2028Q1</c:v>
                </c:pt>
                <c:pt idx="45">
                  <c:v>2028Q2</c:v>
                </c:pt>
                <c:pt idx="46">
                  <c:v>2028Q3</c:v>
                </c:pt>
                <c:pt idx="47">
                  <c:v>2028Q4</c:v>
                </c:pt>
                <c:pt idx="48">
                  <c:v>2029Q1</c:v>
                </c:pt>
                <c:pt idx="49">
                  <c:v>2029Q2</c:v>
                </c:pt>
                <c:pt idx="50">
                  <c:v>2029Q3</c:v>
                </c:pt>
                <c:pt idx="51">
                  <c:v>2029Q4</c:v>
                </c:pt>
                <c:pt idx="52">
                  <c:v>2030Q1</c:v>
                </c:pt>
                <c:pt idx="53">
                  <c:v>2030Q2</c:v>
                </c:pt>
                <c:pt idx="54">
                  <c:v>2030Q3</c:v>
                </c:pt>
                <c:pt idx="55">
                  <c:v>2030Q4</c:v>
                </c:pt>
                <c:pt idx="56">
                  <c:v>2031Q1</c:v>
                </c:pt>
                <c:pt idx="57">
                  <c:v>2031Q2</c:v>
                </c:pt>
                <c:pt idx="58">
                  <c:v>2031Q3</c:v>
                </c:pt>
                <c:pt idx="59">
                  <c:v>2031Q4</c:v>
                </c:pt>
                <c:pt idx="60">
                  <c:v>2032Q1</c:v>
                </c:pt>
                <c:pt idx="61">
                  <c:v>2032Q2</c:v>
                </c:pt>
                <c:pt idx="62">
                  <c:v>2032Q3</c:v>
                </c:pt>
                <c:pt idx="63">
                  <c:v>2032Q4</c:v>
                </c:pt>
                <c:pt idx="64">
                  <c:v>2033Q1</c:v>
                </c:pt>
                <c:pt idx="65">
                  <c:v>2033Q2</c:v>
                </c:pt>
                <c:pt idx="66">
                  <c:v>2033Q3</c:v>
                </c:pt>
                <c:pt idx="67">
                  <c:v>2033Q4</c:v>
                </c:pt>
                <c:pt idx="68">
                  <c:v>2034Q1</c:v>
                </c:pt>
                <c:pt idx="69">
                  <c:v>2034Q2</c:v>
                </c:pt>
                <c:pt idx="70">
                  <c:v>2034Q3</c:v>
                </c:pt>
                <c:pt idx="71">
                  <c:v>2034Q4</c:v>
                </c:pt>
                <c:pt idx="72">
                  <c:v>2035Q1</c:v>
                </c:pt>
                <c:pt idx="73">
                  <c:v>2035Q2</c:v>
                </c:pt>
              </c:strCache>
            </c:strRef>
          </c:cat>
          <c:val>
            <c:numRef>
              <c:f>Sheet3!$E$2:$E$75</c:f>
              <c:numCache>
                <c:formatCode>#,##0.00</c:formatCode>
                <c:ptCount val="74"/>
                <c:pt idx="0">
                  <c:v>1642860.4</c:v>
                </c:pt>
                <c:pt idx="1">
                  <c:v>1654182.7</c:v>
                </c:pt>
                <c:pt idx="2">
                  <c:v>1672558.3</c:v>
                </c:pt>
                <c:pt idx="3">
                  <c:v>1699650.7</c:v>
                </c:pt>
                <c:pt idx="4">
                  <c:v>1719792.7</c:v>
                </c:pt>
                <c:pt idx="5">
                  <c:v>1742497.8</c:v>
                </c:pt>
                <c:pt idx="6">
                  <c:v>1755960</c:v>
                </c:pt>
                <c:pt idx="7">
                  <c:v>1767922.5</c:v>
                </c:pt>
                <c:pt idx="8">
                  <c:v>1772384.2</c:v>
                </c:pt>
                <c:pt idx="9">
                  <c:v>1790077.5</c:v>
                </c:pt>
                <c:pt idx="10">
                  <c:v>1826002.2</c:v>
                </c:pt>
                <c:pt idx="11">
                  <c:v>1838480.4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9D-4FF0-B5E2-6B78712E7C3E}"/>
            </c:ext>
          </c:extLst>
        </c:ser>
        <c:ser>
          <c:idx val="1"/>
          <c:order val="1"/>
          <c:tx>
            <c:strRef>
              <c:f>Sheet3!$F$1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Sheet3!$D$2:$D$75</c:f>
              <c:strCache>
                <c:ptCount val="74"/>
                <c:pt idx="0">
                  <c:v>2017Q1</c:v>
                </c:pt>
                <c:pt idx="1">
                  <c:v>2017Q2</c:v>
                </c:pt>
                <c:pt idx="2">
                  <c:v>2017Q3</c:v>
                </c:pt>
                <c:pt idx="3">
                  <c:v>2017Q4</c:v>
                </c:pt>
                <c:pt idx="4">
                  <c:v>2018Q1</c:v>
                </c:pt>
                <c:pt idx="5">
                  <c:v>2018Q2</c:v>
                </c:pt>
                <c:pt idx="6">
                  <c:v>2018Q3</c:v>
                </c:pt>
                <c:pt idx="7">
                  <c:v>2018Q4</c:v>
                </c:pt>
                <c:pt idx="8">
                  <c:v>2019Q1</c:v>
                </c:pt>
                <c:pt idx="9">
                  <c:v>2019Q2</c:v>
                </c:pt>
                <c:pt idx="10">
                  <c:v>2019Q3</c:v>
                </c:pt>
                <c:pt idx="11">
                  <c:v>2019Q4</c:v>
                </c:pt>
                <c:pt idx="12">
                  <c:v>2020Q1</c:v>
                </c:pt>
                <c:pt idx="13">
                  <c:v>2020Q2</c:v>
                </c:pt>
                <c:pt idx="14">
                  <c:v>2020Q3</c:v>
                </c:pt>
                <c:pt idx="15">
                  <c:v>2020Q4</c:v>
                </c:pt>
                <c:pt idx="16">
                  <c:v>2021Q1</c:v>
                </c:pt>
                <c:pt idx="17">
                  <c:v>2021Q2</c:v>
                </c:pt>
                <c:pt idx="18">
                  <c:v>2021Q3</c:v>
                </c:pt>
                <c:pt idx="19">
                  <c:v>2021Q4</c:v>
                </c:pt>
                <c:pt idx="20">
                  <c:v>2022Q1</c:v>
                </c:pt>
                <c:pt idx="21">
                  <c:v>2022Q2</c:v>
                </c:pt>
                <c:pt idx="22">
                  <c:v>2022Q3</c:v>
                </c:pt>
                <c:pt idx="23">
                  <c:v>2022Q4</c:v>
                </c:pt>
                <c:pt idx="24">
                  <c:v>2023Q1</c:v>
                </c:pt>
                <c:pt idx="25">
                  <c:v>2023Q2</c:v>
                </c:pt>
                <c:pt idx="26">
                  <c:v>2023Q3</c:v>
                </c:pt>
                <c:pt idx="27">
                  <c:v>2023Q4</c:v>
                </c:pt>
                <c:pt idx="28">
                  <c:v>2024Q1</c:v>
                </c:pt>
                <c:pt idx="29">
                  <c:v>2024Q2</c:v>
                </c:pt>
                <c:pt idx="30">
                  <c:v>2024Q3</c:v>
                </c:pt>
                <c:pt idx="31">
                  <c:v>2024Q4</c:v>
                </c:pt>
                <c:pt idx="32">
                  <c:v>2025Q1</c:v>
                </c:pt>
                <c:pt idx="33">
                  <c:v>2025Q2</c:v>
                </c:pt>
                <c:pt idx="34">
                  <c:v>2025Q3</c:v>
                </c:pt>
                <c:pt idx="35">
                  <c:v>2025Q4</c:v>
                </c:pt>
                <c:pt idx="36">
                  <c:v>2026Q1</c:v>
                </c:pt>
                <c:pt idx="37">
                  <c:v>2026Q2</c:v>
                </c:pt>
                <c:pt idx="38">
                  <c:v>2026Q3</c:v>
                </c:pt>
                <c:pt idx="39">
                  <c:v>2026Q4</c:v>
                </c:pt>
                <c:pt idx="40">
                  <c:v>2027Q1</c:v>
                </c:pt>
                <c:pt idx="41">
                  <c:v>2027Q2</c:v>
                </c:pt>
                <c:pt idx="42">
                  <c:v>2027Q3</c:v>
                </c:pt>
                <c:pt idx="43">
                  <c:v>2027Q4</c:v>
                </c:pt>
                <c:pt idx="44">
                  <c:v>2028Q1</c:v>
                </c:pt>
                <c:pt idx="45">
                  <c:v>2028Q2</c:v>
                </c:pt>
                <c:pt idx="46">
                  <c:v>2028Q3</c:v>
                </c:pt>
                <c:pt idx="47">
                  <c:v>2028Q4</c:v>
                </c:pt>
                <c:pt idx="48">
                  <c:v>2029Q1</c:v>
                </c:pt>
                <c:pt idx="49">
                  <c:v>2029Q2</c:v>
                </c:pt>
                <c:pt idx="50">
                  <c:v>2029Q3</c:v>
                </c:pt>
                <c:pt idx="51">
                  <c:v>2029Q4</c:v>
                </c:pt>
                <c:pt idx="52">
                  <c:v>2030Q1</c:v>
                </c:pt>
                <c:pt idx="53">
                  <c:v>2030Q2</c:v>
                </c:pt>
                <c:pt idx="54">
                  <c:v>2030Q3</c:v>
                </c:pt>
                <c:pt idx="55">
                  <c:v>2030Q4</c:v>
                </c:pt>
                <c:pt idx="56">
                  <c:v>2031Q1</c:v>
                </c:pt>
                <c:pt idx="57">
                  <c:v>2031Q2</c:v>
                </c:pt>
                <c:pt idx="58">
                  <c:v>2031Q3</c:v>
                </c:pt>
                <c:pt idx="59">
                  <c:v>2031Q4</c:v>
                </c:pt>
                <c:pt idx="60">
                  <c:v>2032Q1</c:v>
                </c:pt>
                <c:pt idx="61">
                  <c:v>2032Q2</c:v>
                </c:pt>
                <c:pt idx="62">
                  <c:v>2032Q3</c:v>
                </c:pt>
                <c:pt idx="63">
                  <c:v>2032Q4</c:v>
                </c:pt>
                <c:pt idx="64">
                  <c:v>2033Q1</c:v>
                </c:pt>
                <c:pt idx="65">
                  <c:v>2033Q2</c:v>
                </c:pt>
                <c:pt idx="66">
                  <c:v>2033Q3</c:v>
                </c:pt>
                <c:pt idx="67">
                  <c:v>2033Q4</c:v>
                </c:pt>
                <c:pt idx="68">
                  <c:v>2034Q1</c:v>
                </c:pt>
                <c:pt idx="69">
                  <c:v>2034Q2</c:v>
                </c:pt>
                <c:pt idx="70">
                  <c:v>2034Q3</c:v>
                </c:pt>
                <c:pt idx="71">
                  <c:v>2034Q4</c:v>
                </c:pt>
                <c:pt idx="72">
                  <c:v>2035Q1</c:v>
                </c:pt>
                <c:pt idx="73">
                  <c:v>2035Q2</c:v>
                </c:pt>
              </c:strCache>
            </c:strRef>
          </c:cat>
          <c:val>
            <c:numRef>
              <c:f>Sheet3!$F$2:$F$75</c:f>
              <c:numCache>
                <c:formatCode>General</c:formatCode>
                <c:ptCount val="74"/>
                <c:pt idx="34" formatCode="#,##0.00">
                  <c:v>2306480</c:v>
                </c:pt>
                <c:pt idx="35" formatCode="#,##0.00">
                  <c:v>2326630</c:v>
                </c:pt>
                <c:pt idx="36" formatCode="#,##0.00">
                  <c:v>2364540</c:v>
                </c:pt>
                <c:pt idx="37" formatCode="#,##0.00">
                  <c:v>2422980</c:v>
                </c:pt>
                <c:pt idx="38" formatCode="#,##0.00">
                  <c:v>2441910</c:v>
                </c:pt>
                <c:pt idx="39" formatCode="#,##0.00">
                  <c:v>2460980</c:v>
                </c:pt>
                <c:pt idx="40" formatCode="#,##0.00">
                  <c:v>2523140</c:v>
                </c:pt>
                <c:pt idx="41" formatCode="#,##0.00">
                  <c:v>2567160</c:v>
                </c:pt>
                <c:pt idx="42" formatCode="#,##0.00">
                  <c:v>2581400</c:v>
                </c:pt>
                <c:pt idx="43" formatCode="#,##0.00">
                  <c:v>2620860</c:v>
                </c:pt>
                <c:pt idx="44" formatCode="#,##0.00">
                  <c:v>2635550</c:v>
                </c:pt>
                <c:pt idx="45" formatCode="#,##0.00">
                  <c:v>2650260</c:v>
                </c:pt>
                <c:pt idx="46" formatCode="#,##0.00">
                  <c:v>2683100</c:v>
                </c:pt>
                <c:pt idx="47" formatCode="#,##0.00">
                  <c:v>2660720</c:v>
                </c:pt>
                <c:pt idx="48" formatCode="#,##0.00">
                  <c:v>2643340</c:v>
                </c:pt>
                <c:pt idx="49" formatCode="#,##0.00">
                  <c:v>2655650</c:v>
                </c:pt>
                <c:pt idx="50" formatCode="#,##0.00">
                  <c:v>2656500</c:v>
                </c:pt>
                <c:pt idx="51" formatCode="#,##0.00">
                  <c:v>2691260</c:v>
                </c:pt>
                <c:pt idx="52" formatCode="#,##0.00">
                  <c:v>2694840</c:v>
                </c:pt>
                <c:pt idx="53" formatCode="#,##0.00">
                  <c:v>2685340</c:v>
                </c:pt>
                <c:pt idx="54" formatCode="#,##0.00">
                  <c:v>2750230</c:v>
                </c:pt>
                <c:pt idx="55" formatCode="#,##0.00">
                  <c:v>2771940</c:v>
                </c:pt>
                <c:pt idx="56" formatCode="#,##0.00">
                  <c:v>2801630</c:v>
                </c:pt>
                <c:pt idx="57" formatCode="#,##0.00">
                  <c:v>2791430</c:v>
                </c:pt>
                <c:pt idx="58" formatCode="#,##0.00">
                  <c:v>2804900</c:v>
                </c:pt>
                <c:pt idx="59" formatCode="#,##0.00">
                  <c:v>2836120</c:v>
                </c:pt>
                <c:pt idx="60" formatCode="#,##0.00">
                  <c:v>2833260</c:v>
                </c:pt>
                <c:pt idx="61" formatCode="#,##0.00">
                  <c:v>2872020</c:v>
                </c:pt>
                <c:pt idx="62" formatCode="#,##0.00">
                  <c:v>2884320</c:v>
                </c:pt>
                <c:pt idx="63" formatCode="#,##0.00">
                  <c:v>2905260</c:v>
                </c:pt>
                <c:pt idx="64" formatCode="#,##0.00">
                  <c:v>2917680</c:v>
                </c:pt>
                <c:pt idx="65" formatCode="#,##0.00">
                  <c:v>2999030</c:v>
                </c:pt>
                <c:pt idx="66" formatCode="#,##0.00">
                  <c:v>3028830</c:v>
                </c:pt>
                <c:pt idx="67" formatCode="#,##0.00">
                  <c:v>3028490</c:v>
                </c:pt>
                <c:pt idx="68" formatCode="#,##0.00">
                  <c:v>3082930</c:v>
                </c:pt>
                <c:pt idx="69" formatCode="#,##0.00">
                  <c:v>3077750</c:v>
                </c:pt>
                <c:pt idx="70" formatCode="#,##0.00">
                  <c:v>3114910</c:v>
                </c:pt>
                <c:pt idx="71" formatCode="#,##0.00">
                  <c:v>3087530</c:v>
                </c:pt>
                <c:pt idx="72" formatCode="#,##0.00">
                  <c:v>3079150</c:v>
                </c:pt>
                <c:pt idx="73" formatCode="#,##0.00">
                  <c:v>3115970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9D-4FF0-B5E2-6B78712E7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4951104"/>
        <c:axId val="1624951584"/>
      </c:lineChart>
      <c:catAx>
        <c:axId val="162495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951584"/>
        <c:crosses val="autoZero"/>
        <c:auto val="1"/>
        <c:lblAlgn val="ctr"/>
        <c:lblOffset val="100"/>
        <c:noMultiLvlLbl val="0"/>
      </c:catAx>
      <c:valAx>
        <c:axId val="162495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95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3) Apply Factor to Forecast to Get it on Level</a:t>
            </a:r>
            <a:r>
              <a:rPr lang="en-US" sz="1200" baseline="0"/>
              <a:t> with Actuals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Sheet3!$H$1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Sheet3!$G$2:$G$75</c:f>
              <c:strCache>
                <c:ptCount val="74"/>
                <c:pt idx="0">
                  <c:v>2017Q1</c:v>
                </c:pt>
                <c:pt idx="1">
                  <c:v>2017Q2</c:v>
                </c:pt>
                <c:pt idx="2">
                  <c:v>2017Q3</c:v>
                </c:pt>
                <c:pt idx="3">
                  <c:v>2017Q4</c:v>
                </c:pt>
                <c:pt idx="4">
                  <c:v>2018Q1</c:v>
                </c:pt>
                <c:pt idx="5">
                  <c:v>2018Q2</c:v>
                </c:pt>
                <c:pt idx="6">
                  <c:v>2018Q3</c:v>
                </c:pt>
                <c:pt idx="7">
                  <c:v>2018Q4</c:v>
                </c:pt>
                <c:pt idx="8">
                  <c:v>2019Q1</c:v>
                </c:pt>
                <c:pt idx="9">
                  <c:v>2019Q2</c:v>
                </c:pt>
                <c:pt idx="10">
                  <c:v>2019Q3</c:v>
                </c:pt>
                <c:pt idx="11">
                  <c:v>2019Q4</c:v>
                </c:pt>
                <c:pt idx="12">
                  <c:v>2020Q1</c:v>
                </c:pt>
                <c:pt idx="13">
                  <c:v>2020Q2</c:v>
                </c:pt>
                <c:pt idx="14">
                  <c:v>2020Q3</c:v>
                </c:pt>
                <c:pt idx="15">
                  <c:v>2020Q4</c:v>
                </c:pt>
                <c:pt idx="16">
                  <c:v>2021Q1</c:v>
                </c:pt>
                <c:pt idx="17">
                  <c:v>2021Q2</c:v>
                </c:pt>
                <c:pt idx="18">
                  <c:v>2021Q3</c:v>
                </c:pt>
                <c:pt idx="19">
                  <c:v>2021Q4</c:v>
                </c:pt>
                <c:pt idx="20">
                  <c:v>2022Q1</c:v>
                </c:pt>
                <c:pt idx="21">
                  <c:v>2022Q2</c:v>
                </c:pt>
                <c:pt idx="22">
                  <c:v>2022Q3</c:v>
                </c:pt>
                <c:pt idx="23">
                  <c:v>2022Q4</c:v>
                </c:pt>
                <c:pt idx="24">
                  <c:v>2023Q1</c:v>
                </c:pt>
                <c:pt idx="25">
                  <c:v>2023Q2</c:v>
                </c:pt>
                <c:pt idx="26">
                  <c:v>2023Q3</c:v>
                </c:pt>
                <c:pt idx="27">
                  <c:v>2023Q4</c:v>
                </c:pt>
                <c:pt idx="28">
                  <c:v>2024Q1</c:v>
                </c:pt>
                <c:pt idx="29">
                  <c:v>2024Q2</c:v>
                </c:pt>
                <c:pt idx="30">
                  <c:v>2024Q3</c:v>
                </c:pt>
                <c:pt idx="31">
                  <c:v>2024Q4</c:v>
                </c:pt>
                <c:pt idx="32">
                  <c:v>2025Q1</c:v>
                </c:pt>
                <c:pt idx="33">
                  <c:v>2025Q2</c:v>
                </c:pt>
                <c:pt idx="34">
                  <c:v>2025Q3</c:v>
                </c:pt>
                <c:pt idx="35">
                  <c:v>2025Q4</c:v>
                </c:pt>
                <c:pt idx="36">
                  <c:v>2026Q1</c:v>
                </c:pt>
                <c:pt idx="37">
                  <c:v>2026Q2</c:v>
                </c:pt>
                <c:pt idx="38">
                  <c:v>2026Q3</c:v>
                </c:pt>
                <c:pt idx="39">
                  <c:v>2026Q4</c:v>
                </c:pt>
                <c:pt idx="40">
                  <c:v>2027Q1</c:v>
                </c:pt>
                <c:pt idx="41">
                  <c:v>2027Q2</c:v>
                </c:pt>
                <c:pt idx="42">
                  <c:v>2027Q3</c:v>
                </c:pt>
                <c:pt idx="43">
                  <c:v>2027Q4</c:v>
                </c:pt>
                <c:pt idx="44">
                  <c:v>2028Q1</c:v>
                </c:pt>
                <c:pt idx="45">
                  <c:v>2028Q2</c:v>
                </c:pt>
                <c:pt idx="46">
                  <c:v>2028Q3</c:v>
                </c:pt>
                <c:pt idx="47">
                  <c:v>2028Q4</c:v>
                </c:pt>
                <c:pt idx="48">
                  <c:v>2029Q1</c:v>
                </c:pt>
                <c:pt idx="49">
                  <c:v>2029Q2</c:v>
                </c:pt>
                <c:pt idx="50">
                  <c:v>2029Q3</c:v>
                </c:pt>
                <c:pt idx="51">
                  <c:v>2029Q4</c:v>
                </c:pt>
                <c:pt idx="52">
                  <c:v>2030Q1</c:v>
                </c:pt>
                <c:pt idx="53">
                  <c:v>2030Q2</c:v>
                </c:pt>
                <c:pt idx="54">
                  <c:v>2030Q3</c:v>
                </c:pt>
                <c:pt idx="55">
                  <c:v>2030Q4</c:v>
                </c:pt>
                <c:pt idx="56">
                  <c:v>2031Q1</c:v>
                </c:pt>
                <c:pt idx="57">
                  <c:v>2031Q2</c:v>
                </c:pt>
                <c:pt idx="58">
                  <c:v>2031Q3</c:v>
                </c:pt>
                <c:pt idx="59">
                  <c:v>2031Q4</c:v>
                </c:pt>
                <c:pt idx="60">
                  <c:v>2032Q1</c:v>
                </c:pt>
                <c:pt idx="61">
                  <c:v>2032Q2</c:v>
                </c:pt>
                <c:pt idx="62">
                  <c:v>2032Q3</c:v>
                </c:pt>
                <c:pt idx="63">
                  <c:v>2032Q4</c:v>
                </c:pt>
                <c:pt idx="64">
                  <c:v>2033Q1</c:v>
                </c:pt>
                <c:pt idx="65">
                  <c:v>2033Q2</c:v>
                </c:pt>
                <c:pt idx="66">
                  <c:v>2033Q3</c:v>
                </c:pt>
                <c:pt idx="67">
                  <c:v>2033Q4</c:v>
                </c:pt>
                <c:pt idx="68">
                  <c:v>2034Q1</c:v>
                </c:pt>
                <c:pt idx="69">
                  <c:v>2034Q2</c:v>
                </c:pt>
                <c:pt idx="70">
                  <c:v>2034Q3</c:v>
                </c:pt>
                <c:pt idx="71">
                  <c:v>2034Q4</c:v>
                </c:pt>
                <c:pt idx="72">
                  <c:v>2035Q1</c:v>
                </c:pt>
                <c:pt idx="73">
                  <c:v>2035Q2</c:v>
                </c:pt>
              </c:strCache>
            </c:strRef>
          </c:cat>
          <c:val>
            <c:numRef>
              <c:f>Sheet3!$H$2:$H$75</c:f>
              <c:numCache>
                <c:formatCode>#,##0.00</c:formatCode>
                <c:ptCount val="74"/>
                <c:pt idx="0">
                  <c:v>1642860.4</c:v>
                </c:pt>
                <c:pt idx="1">
                  <c:v>1654182.7</c:v>
                </c:pt>
                <c:pt idx="2">
                  <c:v>1672558.3</c:v>
                </c:pt>
                <c:pt idx="3">
                  <c:v>1699650.7</c:v>
                </c:pt>
                <c:pt idx="4">
                  <c:v>1719792.7</c:v>
                </c:pt>
                <c:pt idx="5">
                  <c:v>1742497.8</c:v>
                </c:pt>
                <c:pt idx="6">
                  <c:v>1755960</c:v>
                </c:pt>
                <c:pt idx="7">
                  <c:v>1767922.5</c:v>
                </c:pt>
                <c:pt idx="8">
                  <c:v>1772384.2</c:v>
                </c:pt>
                <c:pt idx="9">
                  <c:v>1790077.5</c:v>
                </c:pt>
                <c:pt idx="10">
                  <c:v>1826002.2</c:v>
                </c:pt>
                <c:pt idx="11">
                  <c:v>1838480.4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62-4212-B073-FA63F516DA85}"/>
            </c:ext>
          </c:extLst>
        </c:ser>
        <c:ser>
          <c:idx val="1"/>
          <c:order val="1"/>
          <c:tx>
            <c:strRef>
              <c:f>Sheet3!$I$1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Sheet3!$G$2:$G$75</c:f>
              <c:strCache>
                <c:ptCount val="74"/>
                <c:pt idx="0">
                  <c:v>2017Q1</c:v>
                </c:pt>
                <c:pt idx="1">
                  <c:v>2017Q2</c:v>
                </c:pt>
                <c:pt idx="2">
                  <c:v>2017Q3</c:v>
                </c:pt>
                <c:pt idx="3">
                  <c:v>2017Q4</c:v>
                </c:pt>
                <c:pt idx="4">
                  <c:v>2018Q1</c:v>
                </c:pt>
                <c:pt idx="5">
                  <c:v>2018Q2</c:v>
                </c:pt>
                <c:pt idx="6">
                  <c:v>2018Q3</c:v>
                </c:pt>
                <c:pt idx="7">
                  <c:v>2018Q4</c:v>
                </c:pt>
                <c:pt idx="8">
                  <c:v>2019Q1</c:v>
                </c:pt>
                <c:pt idx="9">
                  <c:v>2019Q2</c:v>
                </c:pt>
                <c:pt idx="10">
                  <c:v>2019Q3</c:v>
                </c:pt>
                <c:pt idx="11">
                  <c:v>2019Q4</c:v>
                </c:pt>
                <c:pt idx="12">
                  <c:v>2020Q1</c:v>
                </c:pt>
                <c:pt idx="13">
                  <c:v>2020Q2</c:v>
                </c:pt>
                <c:pt idx="14">
                  <c:v>2020Q3</c:v>
                </c:pt>
                <c:pt idx="15">
                  <c:v>2020Q4</c:v>
                </c:pt>
                <c:pt idx="16">
                  <c:v>2021Q1</c:v>
                </c:pt>
                <c:pt idx="17">
                  <c:v>2021Q2</c:v>
                </c:pt>
                <c:pt idx="18">
                  <c:v>2021Q3</c:v>
                </c:pt>
                <c:pt idx="19">
                  <c:v>2021Q4</c:v>
                </c:pt>
                <c:pt idx="20">
                  <c:v>2022Q1</c:v>
                </c:pt>
                <c:pt idx="21">
                  <c:v>2022Q2</c:v>
                </c:pt>
                <c:pt idx="22">
                  <c:v>2022Q3</c:v>
                </c:pt>
                <c:pt idx="23">
                  <c:v>2022Q4</c:v>
                </c:pt>
                <c:pt idx="24">
                  <c:v>2023Q1</c:v>
                </c:pt>
                <c:pt idx="25">
                  <c:v>2023Q2</c:v>
                </c:pt>
                <c:pt idx="26">
                  <c:v>2023Q3</c:v>
                </c:pt>
                <c:pt idx="27">
                  <c:v>2023Q4</c:v>
                </c:pt>
                <c:pt idx="28">
                  <c:v>2024Q1</c:v>
                </c:pt>
                <c:pt idx="29">
                  <c:v>2024Q2</c:v>
                </c:pt>
                <c:pt idx="30">
                  <c:v>2024Q3</c:v>
                </c:pt>
                <c:pt idx="31">
                  <c:v>2024Q4</c:v>
                </c:pt>
                <c:pt idx="32">
                  <c:v>2025Q1</c:v>
                </c:pt>
                <c:pt idx="33">
                  <c:v>2025Q2</c:v>
                </c:pt>
                <c:pt idx="34">
                  <c:v>2025Q3</c:v>
                </c:pt>
                <c:pt idx="35">
                  <c:v>2025Q4</c:v>
                </c:pt>
                <c:pt idx="36">
                  <c:v>2026Q1</c:v>
                </c:pt>
                <c:pt idx="37">
                  <c:v>2026Q2</c:v>
                </c:pt>
                <c:pt idx="38">
                  <c:v>2026Q3</c:v>
                </c:pt>
                <c:pt idx="39">
                  <c:v>2026Q4</c:v>
                </c:pt>
                <c:pt idx="40">
                  <c:v>2027Q1</c:v>
                </c:pt>
                <c:pt idx="41">
                  <c:v>2027Q2</c:v>
                </c:pt>
                <c:pt idx="42">
                  <c:v>2027Q3</c:v>
                </c:pt>
                <c:pt idx="43">
                  <c:v>2027Q4</c:v>
                </c:pt>
                <c:pt idx="44">
                  <c:v>2028Q1</c:v>
                </c:pt>
                <c:pt idx="45">
                  <c:v>2028Q2</c:v>
                </c:pt>
                <c:pt idx="46">
                  <c:v>2028Q3</c:v>
                </c:pt>
                <c:pt idx="47">
                  <c:v>2028Q4</c:v>
                </c:pt>
                <c:pt idx="48">
                  <c:v>2029Q1</c:v>
                </c:pt>
                <c:pt idx="49">
                  <c:v>2029Q2</c:v>
                </c:pt>
                <c:pt idx="50">
                  <c:v>2029Q3</c:v>
                </c:pt>
                <c:pt idx="51">
                  <c:v>2029Q4</c:v>
                </c:pt>
                <c:pt idx="52">
                  <c:v>2030Q1</c:v>
                </c:pt>
                <c:pt idx="53">
                  <c:v>2030Q2</c:v>
                </c:pt>
                <c:pt idx="54">
                  <c:v>2030Q3</c:v>
                </c:pt>
                <c:pt idx="55">
                  <c:v>2030Q4</c:v>
                </c:pt>
                <c:pt idx="56">
                  <c:v>2031Q1</c:v>
                </c:pt>
                <c:pt idx="57">
                  <c:v>2031Q2</c:v>
                </c:pt>
                <c:pt idx="58">
                  <c:v>2031Q3</c:v>
                </c:pt>
                <c:pt idx="59">
                  <c:v>2031Q4</c:v>
                </c:pt>
                <c:pt idx="60">
                  <c:v>2032Q1</c:v>
                </c:pt>
                <c:pt idx="61">
                  <c:v>2032Q2</c:v>
                </c:pt>
                <c:pt idx="62">
                  <c:v>2032Q3</c:v>
                </c:pt>
                <c:pt idx="63">
                  <c:v>2032Q4</c:v>
                </c:pt>
                <c:pt idx="64">
                  <c:v>2033Q1</c:v>
                </c:pt>
                <c:pt idx="65">
                  <c:v>2033Q2</c:v>
                </c:pt>
                <c:pt idx="66">
                  <c:v>2033Q3</c:v>
                </c:pt>
                <c:pt idx="67">
                  <c:v>2033Q4</c:v>
                </c:pt>
                <c:pt idx="68">
                  <c:v>2034Q1</c:v>
                </c:pt>
                <c:pt idx="69">
                  <c:v>2034Q2</c:v>
                </c:pt>
                <c:pt idx="70">
                  <c:v>2034Q3</c:v>
                </c:pt>
                <c:pt idx="71">
                  <c:v>2034Q4</c:v>
                </c:pt>
                <c:pt idx="72">
                  <c:v>2035Q1</c:v>
                </c:pt>
                <c:pt idx="73">
                  <c:v>2035Q2</c:v>
                </c:pt>
              </c:strCache>
            </c:strRef>
          </c:cat>
          <c:val>
            <c:numRef>
              <c:f>Sheet3!$I$2:$I$75</c:f>
              <c:numCache>
                <c:formatCode>General</c:formatCode>
                <c:ptCount val="74"/>
                <c:pt idx="34" formatCode="#,##0.00">
                  <c:v>1865765.9571128238</c:v>
                </c:pt>
                <c:pt idx="35" formatCode="#,##0.00">
                  <c:v>1882065.7663614724</c:v>
                </c:pt>
                <c:pt idx="36" formatCode="#,##0.00">
                  <c:v>1912732.0576079378</c:v>
                </c:pt>
                <c:pt idx="37" formatCode="#,##0.00">
                  <c:v>1960005.549046699</c:v>
                </c:pt>
                <c:pt idx="38" formatCode="#,##0.00">
                  <c:v>1975318.4715815336</c:v>
                </c:pt>
                <c:pt idx="39" formatCode="#,##0.00">
                  <c:v>1990744.6434113961</c:v>
                </c:pt>
                <c:pt idx="40" formatCode="#,##0.00">
                  <c:v>2041027.3304037538</c:v>
                </c:pt>
                <c:pt idx="41" formatCode="#,##0.00">
                  <c:v>2076636.1444546483</c:v>
                </c:pt>
                <c:pt idx="42" formatCode="#,##0.00">
                  <c:v>2088155.2156060506</c:v>
                </c:pt>
                <c:pt idx="43" formatCode="#,##0.00">
                  <c:v>2120075.3383331811</c:v>
                </c:pt>
                <c:pt idx="44" formatCode="#,##0.00">
                  <c:v>2131958.4250757443</c:v>
                </c:pt>
                <c:pt idx="45" formatCode="#,##0.00">
                  <c:v>2143857.6902890261</c:v>
                </c:pt>
                <c:pt idx="46" formatCode="#,##0.00">
                  <c:v>2170422.7392084124</c:v>
                </c:pt>
                <c:pt idx="47" formatCode="#,##0.00">
                  <c:v>2152319.0304746777</c:v>
                </c:pt>
                <c:pt idx="48" formatCode="#,##0.00">
                  <c:v>2138259.9394205082</c:v>
                </c:pt>
                <c:pt idx="49" formatCode="#,##0.00">
                  <c:v>2148217.7881475985</c:v>
                </c:pt>
                <c:pt idx="50" formatCode="#,##0.00">
                  <c:v>2148905.3731531249</c:v>
                </c:pt>
                <c:pt idx="51" formatCode="#,##0.00">
                  <c:v>2177023.5552614639</c:v>
                </c:pt>
                <c:pt idx="52" formatCode="#,##0.00">
                  <c:v>2179919.5015200325</c:v>
                </c:pt>
                <c:pt idx="53" formatCode="#,##0.00">
                  <c:v>2172234.7279288583</c:v>
                </c:pt>
                <c:pt idx="54" formatCode="#,##0.00">
                  <c:v>2224725.7761742584</c:v>
                </c:pt>
                <c:pt idx="55" formatCode="#,##0.00">
                  <c:v>2242287.5061389315</c:v>
                </c:pt>
                <c:pt idx="56" formatCode="#,##0.00">
                  <c:v>2266304.4459201912</c:v>
                </c:pt>
                <c:pt idx="57" formatCode="#,##0.00">
                  <c:v>2258053.4258538778</c:v>
                </c:pt>
                <c:pt idx="58" formatCode="#,##0.00">
                  <c:v>2268949.6258826274</c:v>
                </c:pt>
                <c:pt idx="59" formatCode="#,##0.00">
                  <c:v>2294204.2186738341</c:v>
                </c:pt>
                <c:pt idx="60" formatCode="#,##0.00">
                  <c:v>2291890.6973611228</c:v>
                </c:pt>
                <c:pt idx="61" formatCode="#,##0.00">
                  <c:v>2323244.5736131137</c:v>
                </c:pt>
                <c:pt idx="62" formatCode="#,##0.00">
                  <c:v>2333194.3331048451</c:v>
                </c:pt>
                <c:pt idx="63" formatCode="#,##0.00">
                  <c:v>2350133.1919468655</c:v>
                </c:pt>
                <c:pt idx="64" formatCode="#,##0.00">
                  <c:v>2360180.0222629062</c:v>
                </c:pt>
                <c:pt idx="65" formatCode="#,##0.00">
                  <c:v>2425985.9519094359</c:v>
                </c:pt>
                <c:pt idx="66" formatCode="#,##0.00">
                  <c:v>2450091.873279646</c:v>
                </c:pt>
                <c:pt idx="67" formatCode="#,##0.00">
                  <c:v>2449816.8392774356</c:v>
                </c:pt>
                <c:pt idx="68" formatCode="#,##0.00">
                  <c:v>2493854.636572544</c:v>
                </c:pt>
                <c:pt idx="69" formatCode="#,##0.00">
                  <c:v>2489664.4126565144</c:v>
                </c:pt>
                <c:pt idx="70" formatCode="#,##0.00">
                  <c:v>2519724.0112510449</c:v>
                </c:pt>
                <c:pt idx="71" formatCode="#,##0.00">
                  <c:v>2497575.6848377446</c:v>
                </c:pt>
                <c:pt idx="72" formatCode="#,##0.00">
                  <c:v>2490796.9056067928</c:v>
                </c:pt>
                <c:pt idx="73" formatCode="#,##0.00">
                  <c:v>2520581.4701991128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62-4212-B073-FA63F516D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4962624"/>
        <c:axId val="1624963104"/>
      </c:lineChart>
      <c:catAx>
        <c:axId val="162496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963104"/>
        <c:crosses val="autoZero"/>
        <c:auto val="1"/>
        <c:lblAlgn val="ctr"/>
        <c:lblOffset val="100"/>
        <c:noMultiLvlLbl val="0"/>
      </c:catAx>
      <c:valAx>
        <c:axId val="1624963104"/>
        <c:scaling>
          <c:orientation val="minMax"/>
          <c:max val="3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96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4) Shift Forecast Values to the Left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Sheet3!$K$1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Sheet3!$J$2:$J$75</c:f>
              <c:strCache>
                <c:ptCount val="74"/>
                <c:pt idx="0">
                  <c:v>2017Q1</c:v>
                </c:pt>
                <c:pt idx="1">
                  <c:v>2017Q2</c:v>
                </c:pt>
                <c:pt idx="2">
                  <c:v>2017Q3</c:v>
                </c:pt>
                <c:pt idx="3">
                  <c:v>2017Q4</c:v>
                </c:pt>
                <c:pt idx="4">
                  <c:v>2018Q1</c:v>
                </c:pt>
                <c:pt idx="5">
                  <c:v>2018Q2</c:v>
                </c:pt>
                <c:pt idx="6">
                  <c:v>2018Q3</c:v>
                </c:pt>
                <c:pt idx="7">
                  <c:v>2018Q4</c:v>
                </c:pt>
                <c:pt idx="8">
                  <c:v>2019Q1</c:v>
                </c:pt>
                <c:pt idx="9">
                  <c:v>2019Q2</c:v>
                </c:pt>
                <c:pt idx="10">
                  <c:v>2019Q3</c:v>
                </c:pt>
                <c:pt idx="11">
                  <c:v>2019Q4</c:v>
                </c:pt>
                <c:pt idx="12">
                  <c:v>2020Q1</c:v>
                </c:pt>
                <c:pt idx="13">
                  <c:v>2020Q2</c:v>
                </c:pt>
                <c:pt idx="14">
                  <c:v>2020Q3</c:v>
                </c:pt>
                <c:pt idx="15">
                  <c:v>2020Q4</c:v>
                </c:pt>
                <c:pt idx="16">
                  <c:v>2021Q1</c:v>
                </c:pt>
                <c:pt idx="17">
                  <c:v>2021Q2</c:v>
                </c:pt>
                <c:pt idx="18">
                  <c:v>2021Q3</c:v>
                </c:pt>
                <c:pt idx="19">
                  <c:v>2021Q4</c:v>
                </c:pt>
                <c:pt idx="20">
                  <c:v>2022Q1</c:v>
                </c:pt>
                <c:pt idx="21">
                  <c:v>2022Q2</c:v>
                </c:pt>
                <c:pt idx="22">
                  <c:v>2022Q3</c:v>
                </c:pt>
                <c:pt idx="23">
                  <c:v>2022Q4</c:v>
                </c:pt>
                <c:pt idx="24">
                  <c:v>2023Q1</c:v>
                </c:pt>
                <c:pt idx="25">
                  <c:v>2023Q2</c:v>
                </c:pt>
                <c:pt idx="26">
                  <c:v>2023Q3</c:v>
                </c:pt>
                <c:pt idx="27">
                  <c:v>2023Q4</c:v>
                </c:pt>
                <c:pt idx="28">
                  <c:v>2024Q1</c:v>
                </c:pt>
                <c:pt idx="29">
                  <c:v>2024Q2</c:v>
                </c:pt>
                <c:pt idx="30">
                  <c:v>2024Q3</c:v>
                </c:pt>
                <c:pt idx="31">
                  <c:v>2024Q4</c:v>
                </c:pt>
                <c:pt idx="32">
                  <c:v>2025Q1</c:v>
                </c:pt>
                <c:pt idx="33">
                  <c:v>2025Q2</c:v>
                </c:pt>
                <c:pt idx="34">
                  <c:v>2025Q3</c:v>
                </c:pt>
                <c:pt idx="35">
                  <c:v>2025Q4</c:v>
                </c:pt>
                <c:pt idx="36">
                  <c:v>2026Q1</c:v>
                </c:pt>
                <c:pt idx="37">
                  <c:v>2026Q2</c:v>
                </c:pt>
                <c:pt idx="38">
                  <c:v>2026Q3</c:v>
                </c:pt>
                <c:pt idx="39">
                  <c:v>2026Q4</c:v>
                </c:pt>
                <c:pt idx="40">
                  <c:v>2027Q1</c:v>
                </c:pt>
                <c:pt idx="41">
                  <c:v>2027Q2</c:v>
                </c:pt>
                <c:pt idx="42">
                  <c:v>2027Q3</c:v>
                </c:pt>
                <c:pt idx="43">
                  <c:v>2027Q4</c:v>
                </c:pt>
                <c:pt idx="44">
                  <c:v>2028Q1</c:v>
                </c:pt>
                <c:pt idx="45">
                  <c:v>2028Q2</c:v>
                </c:pt>
                <c:pt idx="46">
                  <c:v>2028Q3</c:v>
                </c:pt>
                <c:pt idx="47">
                  <c:v>2028Q4</c:v>
                </c:pt>
                <c:pt idx="48">
                  <c:v>2029Q1</c:v>
                </c:pt>
                <c:pt idx="49">
                  <c:v>2029Q2</c:v>
                </c:pt>
                <c:pt idx="50">
                  <c:v>2029Q3</c:v>
                </c:pt>
                <c:pt idx="51">
                  <c:v>2029Q4</c:v>
                </c:pt>
                <c:pt idx="52">
                  <c:v>2030Q1</c:v>
                </c:pt>
                <c:pt idx="53">
                  <c:v>2030Q2</c:v>
                </c:pt>
                <c:pt idx="54">
                  <c:v>2030Q3</c:v>
                </c:pt>
                <c:pt idx="55">
                  <c:v>2030Q4</c:v>
                </c:pt>
                <c:pt idx="56">
                  <c:v>2031Q1</c:v>
                </c:pt>
                <c:pt idx="57">
                  <c:v>2031Q2</c:v>
                </c:pt>
                <c:pt idx="58">
                  <c:v>2031Q3</c:v>
                </c:pt>
                <c:pt idx="59">
                  <c:v>2031Q4</c:v>
                </c:pt>
                <c:pt idx="60">
                  <c:v>2032Q1</c:v>
                </c:pt>
                <c:pt idx="61">
                  <c:v>2032Q2</c:v>
                </c:pt>
                <c:pt idx="62">
                  <c:v>2032Q3</c:v>
                </c:pt>
                <c:pt idx="63">
                  <c:v>2032Q4</c:v>
                </c:pt>
                <c:pt idx="64">
                  <c:v>2033Q1</c:v>
                </c:pt>
                <c:pt idx="65">
                  <c:v>2033Q2</c:v>
                </c:pt>
                <c:pt idx="66">
                  <c:v>2033Q3</c:v>
                </c:pt>
                <c:pt idx="67">
                  <c:v>2033Q4</c:v>
                </c:pt>
                <c:pt idx="68">
                  <c:v>2034Q1</c:v>
                </c:pt>
                <c:pt idx="69">
                  <c:v>2034Q2</c:v>
                </c:pt>
                <c:pt idx="70">
                  <c:v>2034Q3</c:v>
                </c:pt>
                <c:pt idx="71">
                  <c:v>2034Q4</c:v>
                </c:pt>
                <c:pt idx="72">
                  <c:v>2035Q1</c:v>
                </c:pt>
                <c:pt idx="73">
                  <c:v>2035Q2</c:v>
                </c:pt>
              </c:strCache>
            </c:strRef>
          </c:cat>
          <c:val>
            <c:numRef>
              <c:f>Sheet3!$K$2:$K$75</c:f>
              <c:numCache>
                <c:formatCode>#,##0.00</c:formatCode>
                <c:ptCount val="74"/>
                <c:pt idx="0">
                  <c:v>1642860.4</c:v>
                </c:pt>
                <c:pt idx="1">
                  <c:v>1654182.7</c:v>
                </c:pt>
                <c:pt idx="2">
                  <c:v>1672558.3</c:v>
                </c:pt>
                <c:pt idx="3">
                  <c:v>1699650.7</c:v>
                </c:pt>
                <c:pt idx="4">
                  <c:v>1719792.7</c:v>
                </c:pt>
                <c:pt idx="5">
                  <c:v>1742497.8</c:v>
                </c:pt>
                <c:pt idx="6">
                  <c:v>1755960</c:v>
                </c:pt>
                <c:pt idx="7">
                  <c:v>1767922.5</c:v>
                </c:pt>
                <c:pt idx="8">
                  <c:v>1772384.2</c:v>
                </c:pt>
                <c:pt idx="9">
                  <c:v>1790077.5</c:v>
                </c:pt>
                <c:pt idx="10">
                  <c:v>1826002.2</c:v>
                </c:pt>
                <c:pt idx="11">
                  <c:v>1838480.4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33-400E-8234-77718E92BCF8}"/>
            </c:ext>
          </c:extLst>
        </c:ser>
        <c:ser>
          <c:idx val="1"/>
          <c:order val="1"/>
          <c:tx>
            <c:strRef>
              <c:f>Sheet3!$L$1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Sheet3!$J$2:$J$75</c:f>
              <c:strCache>
                <c:ptCount val="74"/>
                <c:pt idx="0">
                  <c:v>2017Q1</c:v>
                </c:pt>
                <c:pt idx="1">
                  <c:v>2017Q2</c:v>
                </c:pt>
                <c:pt idx="2">
                  <c:v>2017Q3</c:v>
                </c:pt>
                <c:pt idx="3">
                  <c:v>2017Q4</c:v>
                </c:pt>
                <c:pt idx="4">
                  <c:v>2018Q1</c:v>
                </c:pt>
                <c:pt idx="5">
                  <c:v>2018Q2</c:v>
                </c:pt>
                <c:pt idx="6">
                  <c:v>2018Q3</c:v>
                </c:pt>
                <c:pt idx="7">
                  <c:v>2018Q4</c:v>
                </c:pt>
                <c:pt idx="8">
                  <c:v>2019Q1</c:v>
                </c:pt>
                <c:pt idx="9">
                  <c:v>2019Q2</c:v>
                </c:pt>
                <c:pt idx="10">
                  <c:v>2019Q3</c:v>
                </c:pt>
                <c:pt idx="11">
                  <c:v>2019Q4</c:v>
                </c:pt>
                <c:pt idx="12">
                  <c:v>2020Q1</c:v>
                </c:pt>
                <c:pt idx="13">
                  <c:v>2020Q2</c:v>
                </c:pt>
                <c:pt idx="14">
                  <c:v>2020Q3</c:v>
                </c:pt>
                <c:pt idx="15">
                  <c:v>2020Q4</c:v>
                </c:pt>
                <c:pt idx="16">
                  <c:v>2021Q1</c:v>
                </c:pt>
                <c:pt idx="17">
                  <c:v>2021Q2</c:v>
                </c:pt>
                <c:pt idx="18">
                  <c:v>2021Q3</c:v>
                </c:pt>
                <c:pt idx="19">
                  <c:v>2021Q4</c:v>
                </c:pt>
                <c:pt idx="20">
                  <c:v>2022Q1</c:v>
                </c:pt>
                <c:pt idx="21">
                  <c:v>2022Q2</c:v>
                </c:pt>
                <c:pt idx="22">
                  <c:v>2022Q3</c:v>
                </c:pt>
                <c:pt idx="23">
                  <c:v>2022Q4</c:v>
                </c:pt>
                <c:pt idx="24">
                  <c:v>2023Q1</c:v>
                </c:pt>
                <c:pt idx="25">
                  <c:v>2023Q2</c:v>
                </c:pt>
                <c:pt idx="26">
                  <c:v>2023Q3</c:v>
                </c:pt>
                <c:pt idx="27">
                  <c:v>2023Q4</c:v>
                </c:pt>
                <c:pt idx="28">
                  <c:v>2024Q1</c:v>
                </c:pt>
                <c:pt idx="29">
                  <c:v>2024Q2</c:v>
                </c:pt>
                <c:pt idx="30">
                  <c:v>2024Q3</c:v>
                </c:pt>
                <c:pt idx="31">
                  <c:v>2024Q4</c:v>
                </c:pt>
                <c:pt idx="32">
                  <c:v>2025Q1</c:v>
                </c:pt>
                <c:pt idx="33">
                  <c:v>2025Q2</c:v>
                </c:pt>
                <c:pt idx="34">
                  <c:v>2025Q3</c:v>
                </c:pt>
                <c:pt idx="35">
                  <c:v>2025Q4</c:v>
                </c:pt>
                <c:pt idx="36">
                  <c:v>2026Q1</c:v>
                </c:pt>
                <c:pt idx="37">
                  <c:v>2026Q2</c:v>
                </c:pt>
                <c:pt idx="38">
                  <c:v>2026Q3</c:v>
                </c:pt>
                <c:pt idx="39">
                  <c:v>2026Q4</c:v>
                </c:pt>
                <c:pt idx="40">
                  <c:v>2027Q1</c:v>
                </c:pt>
                <c:pt idx="41">
                  <c:v>2027Q2</c:v>
                </c:pt>
                <c:pt idx="42">
                  <c:v>2027Q3</c:v>
                </c:pt>
                <c:pt idx="43">
                  <c:v>2027Q4</c:v>
                </c:pt>
                <c:pt idx="44">
                  <c:v>2028Q1</c:v>
                </c:pt>
                <c:pt idx="45">
                  <c:v>2028Q2</c:v>
                </c:pt>
                <c:pt idx="46">
                  <c:v>2028Q3</c:v>
                </c:pt>
                <c:pt idx="47">
                  <c:v>2028Q4</c:v>
                </c:pt>
                <c:pt idx="48">
                  <c:v>2029Q1</c:v>
                </c:pt>
                <c:pt idx="49">
                  <c:v>2029Q2</c:v>
                </c:pt>
                <c:pt idx="50">
                  <c:v>2029Q3</c:v>
                </c:pt>
                <c:pt idx="51">
                  <c:v>2029Q4</c:v>
                </c:pt>
                <c:pt idx="52">
                  <c:v>2030Q1</c:v>
                </c:pt>
                <c:pt idx="53">
                  <c:v>2030Q2</c:v>
                </c:pt>
                <c:pt idx="54">
                  <c:v>2030Q3</c:v>
                </c:pt>
                <c:pt idx="55">
                  <c:v>2030Q4</c:v>
                </c:pt>
                <c:pt idx="56">
                  <c:v>2031Q1</c:v>
                </c:pt>
                <c:pt idx="57">
                  <c:v>2031Q2</c:v>
                </c:pt>
                <c:pt idx="58">
                  <c:v>2031Q3</c:v>
                </c:pt>
                <c:pt idx="59">
                  <c:v>2031Q4</c:v>
                </c:pt>
                <c:pt idx="60">
                  <c:v>2032Q1</c:v>
                </c:pt>
                <c:pt idx="61">
                  <c:v>2032Q2</c:v>
                </c:pt>
                <c:pt idx="62">
                  <c:v>2032Q3</c:v>
                </c:pt>
                <c:pt idx="63">
                  <c:v>2032Q4</c:v>
                </c:pt>
                <c:pt idx="64">
                  <c:v>2033Q1</c:v>
                </c:pt>
                <c:pt idx="65">
                  <c:v>2033Q2</c:v>
                </c:pt>
                <c:pt idx="66">
                  <c:v>2033Q3</c:v>
                </c:pt>
                <c:pt idx="67">
                  <c:v>2033Q4</c:v>
                </c:pt>
                <c:pt idx="68">
                  <c:v>2034Q1</c:v>
                </c:pt>
                <c:pt idx="69">
                  <c:v>2034Q2</c:v>
                </c:pt>
                <c:pt idx="70">
                  <c:v>2034Q3</c:v>
                </c:pt>
                <c:pt idx="71">
                  <c:v>2034Q4</c:v>
                </c:pt>
                <c:pt idx="72">
                  <c:v>2035Q1</c:v>
                </c:pt>
                <c:pt idx="73">
                  <c:v>2035Q2</c:v>
                </c:pt>
              </c:strCache>
            </c:strRef>
          </c:cat>
          <c:val>
            <c:numRef>
              <c:f>Sheet3!$L$2:$L$75</c:f>
              <c:numCache>
                <c:formatCode>General</c:formatCode>
                <c:ptCount val="74"/>
                <c:pt idx="12" formatCode="#,##0.00">
                  <c:v>1865765.9571128238</c:v>
                </c:pt>
                <c:pt idx="13" formatCode="#,##0.00">
                  <c:v>1882065.7663614724</c:v>
                </c:pt>
                <c:pt idx="14" formatCode="#,##0.00">
                  <c:v>1912732.0576079378</c:v>
                </c:pt>
                <c:pt idx="15" formatCode="#,##0.00">
                  <c:v>1960005.549046699</c:v>
                </c:pt>
                <c:pt idx="16" formatCode="#,##0.00">
                  <c:v>1975318.4715815336</c:v>
                </c:pt>
                <c:pt idx="17" formatCode="#,##0.00">
                  <c:v>1990744.6434113961</c:v>
                </c:pt>
                <c:pt idx="18" formatCode="#,##0.00">
                  <c:v>2041027.3304037538</c:v>
                </c:pt>
                <c:pt idx="19" formatCode="#,##0.00">
                  <c:v>2076636.1444546483</c:v>
                </c:pt>
                <c:pt idx="20" formatCode="#,##0.00">
                  <c:v>2088155.2156060506</c:v>
                </c:pt>
                <c:pt idx="21" formatCode="#,##0.00">
                  <c:v>2120075.3383331811</c:v>
                </c:pt>
                <c:pt idx="22" formatCode="#,##0.00">
                  <c:v>2131958.4250757443</c:v>
                </c:pt>
                <c:pt idx="23" formatCode="#,##0.00">
                  <c:v>2143857.6902890261</c:v>
                </c:pt>
                <c:pt idx="24" formatCode="#,##0.00">
                  <c:v>2170422.7392084124</c:v>
                </c:pt>
                <c:pt idx="25" formatCode="#,##0.00">
                  <c:v>2152319.0304746777</c:v>
                </c:pt>
                <c:pt idx="26" formatCode="#,##0.00">
                  <c:v>2138259.9394205082</c:v>
                </c:pt>
                <c:pt idx="27" formatCode="#,##0.00">
                  <c:v>2148217.7881475985</c:v>
                </c:pt>
                <c:pt idx="28" formatCode="#,##0.00">
                  <c:v>2148905.3731531249</c:v>
                </c:pt>
                <c:pt idx="29" formatCode="#,##0.00">
                  <c:v>2177023.5552614639</c:v>
                </c:pt>
                <c:pt idx="30" formatCode="#,##0.00">
                  <c:v>2179919.5015200325</c:v>
                </c:pt>
                <c:pt idx="31" formatCode="#,##0.00">
                  <c:v>2172234.7279288583</c:v>
                </c:pt>
                <c:pt idx="32" formatCode="#,##0.00">
                  <c:v>2224725.7761742584</c:v>
                </c:pt>
                <c:pt idx="33" formatCode="#,##0.00">
                  <c:v>2242287.5061389315</c:v>
                </c:pt>
                <c:pt idx="34" formatCode="#,##0.00">
                  <c:v>2266304.4459201912</c:v>
                </c:pt>
                <c:pt idx="35" formatCode="#,##0.00">
                  <c:v>2258053.4258538778</c:v>
                </c:pt>
                <c:pt idx="36" formatCode="#,##0.00">
                  <c:v>2268949.6258826274</c:v>
                </c:pt>
                <c:pt idx="37" formatCode="#,##0.00">
                  <c:v>2294204.2186738341</c:v>
                </c:pt>
                <c:pt idx="38" formatCode="#,##0.00">
                  <c:v>2291890.6973611228</c:v>
                </c:pt>
                <c:pt idx="39" formatCode="#,##0.00">
                  <c:v>2323244.5736131137</c:v>
                </c:pt>
                <c:pt idx="40" formatCode="#,##0.00">
                  <c:v>2333194.3331048451</c:v>
                </c:pt>
                <c:pt idx="41" formatCode="#,##0.00">
                  <c:v>2350133.1919468655</c:v>
                </c:pt>
                <c:pt idx="42" formatCode="#,##0.00">
                  <c:v>2360180.0222629062</c:v>
                </c:pt>
                <c:pt idx="43" formatCode="#,##0.00">
                  <c:v>2425985.9519094359</c:v>
                </c:pt>
                <c:pt idx="44" formatCode="#,##0.00">
                  <c:v>2450091.873279646</c:v>
                </c:pt>
                <c:pt idx="45" formatCode="#,##0.00">
                  <c:v>2449816.8392774356</c:v>
                </c:pt>
                <c:pt idx="46" formatCode="#,##0.00">
                  <c:v>2493854.636572544</c:v>
                </c:pt>
                <c:pt idx="47" formatCode="#,##0.00">
                  <c:v>2489664.4126565144</c:v>
                </c:pt>
                <c:pt idx="48" formatCode="#,##0.00">
                  <c:v>2519724.0112510449</c:v>
                </c:pt>
                <c:pt idx="49" formatCode="#,##0.00">
                  <c:v>2497575.6848377446</c:v>
                </c:pt>
                <c:pt idx="50" formatCode="#,##0.00">
                  <c:v>2490796.9056067928</c:v>
                </c:pt>
                <c:pt idx="51" formatCode="#,##0.00">
                  <c:v>2520581.4701991128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33-400E-8234-77718E92B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8289616"/>
        <c:axId val="1978286256"/>
      </c:lineChart>
      <c:catAx>
        <c:axId val="197828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286256"/>
        <c:crosses val="autoZero"/>
        <c:auto val="1"/>
        <c:lblAlgn val="ctr"/>
        <c:lblOffset val="100"/>
        <c:noMultiLvlLbl val="0"/>
      </c:catAx>
      <c:valAx>
        <c:axId val="1978286256"/>
        <c:scaling>
          <c:orientation val="minMax"/>
          <c:max val="3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28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</xdr:colOff>
      <xdr:row>3</xdr:row>
      <xdr:rowOff>99060</xdr:rowOff>
    </xdr:from>
    <xdr:to>
      <xdr:col>8</xdr:col>
      <xdr:colOff>350520</xdr:colOff>
      <xdr:row>22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713045-7993-23AA-96D5-17BC2FE6E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60960</xdr:colOff>
      <xdr:row>3</xdr:row>
      <xdr:rowOff>95250</xdr:rowOff>
    </xdr:from>
    <xdr:to>
      <xdr:col>16</xdr:col>
      <xdr:colOff>365760</xdr:colOff>
      <xdr:row>22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C9F3CC-C6DA-2BB3-6C2E-A67086768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24</xdr:row>
      <xdr:rowOff>87630</xdr:rowOff>
    </xdr:from>
    <xdr:to>
      <xdr:col>8</xdr:col>
      <xdr:colOff>342900</xdr:colOff>
      <xdr:row>42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3942AC-EB3A-6ED4-8F98-90DD30B1F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60960</xdr:colOff>
      <xdr:row>24</xdr:row>
      <xdr:rowOff>133350</xdr:rowOff>
    </xdr:from>
    <xdr:to>
      <xdr:col>16</xdr:col>
      <xdr:colOff>365760</xdr:colOff>
      <xdr:row>42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E78119-13CA-B576-5BD7-72830B1F3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752D-6FE3-414D-BCF0-F2646F4B484A}">
  <dimension ref="A1:A3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DEAC9-6FE1-4E29-84E0-C6379D3DC7AE}">
  <sheetPr>
    <pageSetUpPr fitToPage="1"/>
  </sheetPr>
  <dimension ref="A1:Q70"/>
  <sheetViews>
    <sheetView workbookViewId="0">
      <selection activeCell="B1" sqref="B1:Q44"/>
    </sheetView>
  </sheetViews>
  <sheetFormatPr defaultRowHeight="14.4" x14ac:dyDescent="0.3"/>
  <cols>
    <col min="2" max="2" width="11.6640625" bestFit="1" customWidth="1"/>
  </cols>
  <sheetData>
    <row r="1" spans="2:17" ht="21" x14ac:dyDescent="0.4">
      <c r="B1" s="4" t="s">
        <v>79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31" spans="1:7" x14ac:dyDescent="0.3">
      <c r="A31" s="3"/>
      <c r="B31" s="3"/>
      <c r="C31" s="3"/>
      <c r="D31" s="3"/>
      <c r="E31" s="3"/>
      <c r="F31" s="3"/>
      <c r="G31" s="3"/>
    </row>
    <row r="32" spans="1:7" x14ac:dyDescent="0.3">
      <c r="A32" s="3"/>
      <c r="B32" s="3"/>
      <c r="C32" s="3"/>
      <c r="D32" s="3"/>
      <c r="E32" s="3"/>
      <c r="F32" s="3"/>
      <c r="G32" s="3"/>
    </row>
    <row r="33" spans="1:7" x14ac:dyDescent="0.3">
      <c r="A33" s="3"/>
      <c r="B33" s="3"/>
      <c r="C33" s="3"/>
      <c r="D33" s="3"/>
      <c r="E33" s="3"/>
      <c r="F33" s="3"/>
      <c r="G33" s="3"/>
    </row>
    <row r="34" spans="1:7" x14ac:dyDescent="0.3">
      <c r="A34" s="3"/>
      <c r="B34" s="3"/>
      <c r="C34" s="3"/>
      <c r="D34" s="3"/>
      <c r="E34" s="3"/>
      <c r="F34" s="3"/>
      <c r="G34" s="3"/>
    </row>
    <row r="35" spans="1:7" x14ac:dyDescent="0.3">
      <c r="A35" s="3"/>
      <c r="B35" s="3"/>
      <c r="C35" s="3"/>
      <c r="D35" s="3"/>
      <c r="E35" s="3"/>
      <c r="F35" s="3"/>
      <c r="G35" s="3"/>
    </row>
    <row r="36" spans="1:7" x14ac:dyDescent="0.3">
      <c r="A36" s="3"/>
      <c r="B36" s="3"/>
      <c r="C36" s="3"/>
      <c r="D36" s="3"/>
      <c r="E36" s="3"/>
      <c r="F36" s="3"/>
      <c r="G36" s="3"/>
    </row>
    <row r="37" spans="1:7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3"/>
      <c r="B38" s="3"/>
      <c r="C38" s="3"/>
      <c r="D38" s="3"/>
      <c r="E38" s="3"/>
      <c r="F38" s="3"/>
      <c r="G38" s="3"/>
    </row>
    <row r="39" spans="1:7" x14ac:dyDescent="0.3">
      <c r="A39" s="3"/>
      <c r="B39" s="3"/>
      <c r="C39" s="3"/>
      <c r="D39" s="3"/>
      <c r="E39" s="3"/>
      <c r="F39" s="3"/>
      <c r="G39" s="3"/>
    </row>
    <row r="40" spans="1:7" x14ac:dyDescent="0.3">
      <c r="A40" s="3"/>
      <c r="B40" s="3"/>
      <c r="C40" s="3"/>
      <c r="D40" s="3"/>
      <c r="E40" s="3"/>
      <c r="F40" s="3"/>
      <c r="G40" s="3"/>
    </row>
    <row r="41" spans="1:7" x14ac:dyDescent="0.3">
      <c r="A41" s="3"/>
      <c r="B41" s="3"/>
      <c r="C41" s="3"/>
      <c r="D41" s="3"/>
      <c r="E41" s="3"/>
      <c r="F41" s="3"/>
      <c r="G41" s="3"/>
    </row>
    <row r="42" spans="1:7" x14ac:dyDescent="0.3">
      <c r="A42" s="3"/>
      <c r="B42" s="3"/>
      <c r="C42" s="3"/>
      <c r="D42" s="3"/>
      <c r="E42" s="3"/>
      <c r="F42" s="3"/>
      <c r="G42" s="3"/>
    </row>
    <row r="43" spans="1:7" x14ac:dyDescent="0.3">
      <c r="A43" s="3"/>
      <c r="B43" s="3"/>
      <c r="C43" s="3"/>
      <c r="D43" s="3"/>
      <c r="E43" s="3"/>
      <c r="F43" s="3"/>
      <c r="G43" s="3"/>
    </row>
    <row r="44" spans="1:7" x14ac:dyDescent="0.3">
      <c r="A44" s="3"/>
      <c r="B44" s="3"/>
      <c r="C44" s="3"/>
      <c r="D44" s="3"/>
      <c r="E44" s="3"/>
      <c r="F44" s="3"/>
      <c r="G44" s="3"/>
    </row>
    <row r="45" spans="1:7" x14ac:dyDescent="0.3">
      <c r="A45" s="3"/>
      <c r="B45" s="3"/>
      <c r="C45" s="3"/>
      <c r="D45" s="3"/>
      <c r="E45" s="3"/>
      <c r="F45" s="3"/>
      <c r="G45" s="3"/>
    </row>
    <row r="46" spans="1:7" x14ac:dyDescent="0.3">
      <c r="A46" s="3"/>
      <c r="B46" s="3"/>
      <c r="C46" s="3"/>
      <c r="D46" s="3"/>
      <c r="E46" s="3"/>
      <c r="F46" s="3"/>
      <c r="G46" s="3"/>
    </row>
    <row r="47" spans="1:7" x14ac:dyDescent="0.3">
      <c r="A47" s="3"/>
      <c r="B47" s="3"/>
      <c r="C47" s="3"/>
      <c r="D47" s="3"/>
      <c r="E47" s="3"/>
      <c r="F47" s="3"/>
      <c r="G47" s="3"/>
    </row>
    <row r="48" spans="1:7" x14ac:dyDescent="0.3">
      <c r="A48" s="3"/>
      <c r="B48" s="3"/>
      <c r="C48" s="3"/>
      <c r="D48" s="3"/>
      <c r="E48" s="3"/>
      <c r="F48" s="3"/>
      <c r="G48" s="3"/>
    </row>
    <row r="49" spans="1:7" x14ac:dyDescent="0.3">
      <c r="A49" s="3"/>
      <c r="B49" s="3"/>
      <c r="C49" s="3"/>
      <c r="D49" s="3"/>
      <c r="E49" s="3"/>
      <c r="F49" s="3"/>
      <c r="G49" s="3"/>
    </row>
    <row r="50" spans="1:7" x14ac:dyDescent="0.3">
      <c r="A50" s="3"/>
      <c r="B50" s="3"/>
      <c r="C50" s="3"/>
      <c r="D50" s="3"/>
      <c r="E50" s="3"/>
      <c r="F50" s="3"/>
      <c r="G50" s="3"/>
    </row>
    <row r="51" spans="1:7" x14ac:dyDescent="0.3">
      <c r="A51" s="3"/>
      <c r="B51" s="3"/>
      <c r="C51" s="3"/>
      <c r="D51" s="3"/>
      <c r="E51" s="3"/>
      <c r="F51" s="3"/>
      <c r="G51" s="3"/>
    </row>
    <row r="52" spans="1:7" x14ac:dyDescent="0.3">
      <c r="A52" s="3"/>
      <c r="B52" s="3"/>
      <c r="C52" s="3"/>
      <c r="D52" s="3"/>
      <c r="E52" s="3"/>
      <c r="F52" s="3"/>
      <c r="G52" s="3"/>
    </row>
    <row r="53" spans="1:7" x14ac:dyDescent="0.3">
      <c r="A53" s="3"/>
      <c r="B53" s="3"/>
      <c r="C53" s="3"/>
      <c r="D53" s="3"/>
      <c r="E53" s="3"/>
      <c r="F53" s="3"/>
      <c r="G53" s="3"/>
    </row>
    <row r="54" spans="1:7" x14ac:dyDescent="0.3">
      <c r="A54" s="3"/>
      <c r="B54" s="3"/>
      <c r="C54" s="3"/>
      <c r="D54" s="3"/>
      <c r="E54" s="3"/>
      <c r="F54" s="3"/>
      <c r="G54" s="3"/>
    </row>
    <row r="55" spans="1:7" x14ac:dyDescent="0.3">
      <c r="A55" s="3"/>
      <c r="B55" s="3"/>
      <c r="C55" s="3"/>
      <c r="D55" s="3"/>
      <c r="E55" s="3"/>
      <c r="F55" s="3"/>
      <c r="G55" s="3"/>
    </row>
    <row r="56" spans="1:7" x14ac:dyDescent="0.3">
      <c r="A56" s="3"/>
      <c r="B56" s="3"/>
      <c r="C56" s="3"/>
      <c r="D56" s="3"/>
      <c r="E56" s="3"/>
      <c r="F56" s="3"/>
      <c r="G56" s="3"/>
    </row>
    <row r="57" spans="1:7" x14ac:dyDescent="0.3">
      <c r="A57" s="3"/>
      <c r="B57" s="3"/>
      <c r="C57" s="3"/>
      <c r="D57" s="3"/>
      <c r="E57" s="3"/>
      <c r="F57" s="3"/>
      <c r="G57" s="3"/>
    </row>
    <row r="58" spans="1:7" x14ac:dyDescent="0.3">
      <c r="A58" s="3"/>
      <c r="B58" s="3"/>
      <c r="C58" s="3"/>
      <c r="D58" s="3"/>
      <c r="E58" s="3"/>
      <c r="F58" s="3"/>
      <c r="G58" s="3"/>
    </row>
    <row r="59" spans="1:7" x14ac:dyDescent="0.3">
      <c r="A59" s="3"/>
      <c r="B59" s="3"/>
      <c r="C59" s="3"/>
      <c r="D59" s="3"/>
      <c r="E59" s="3"/>
      <c r="F59" s="3"/>
      <c r="G59" s="3"/>
    </row>
    <row r="60" spans="1:7" x14ac:dyDescent="0.3">
      <c r="A60" s="3"/>
      <c r="B60" s="3"/>
      <c r="C60" s="3"/>
      <c r="D60" s="3"/>
      <c r="E60" s="3"/>
      <c r="F60" s="3"/>
      <c r="G60" s="3"/>
    </row>
    <row r="61" spans="1:7" x14ac:dyDescent="0.3">
      <c r="A61" s="3"/>
      <c r="B61" s="3"/>
      <c r="C61" s="3"/>
      <c r="D61" s="3"/>
      <c r="E61" s="3"/>
      <c r="F61" s="3"/>
      <c r="G61" s="3"/>
    </row>
    <row r="62" spans="1:7" x14ac:dyDescent="0.3">
      <c r="A62" s="3"/>
      <c r="B62" s="3"/>
      <c r="C62" s="3"/>
      <c r="D62" s="3"/>
      <c r="E62" s="3"/>
      <c r="F62" s="3"/>
      <c r="G62" s="3"/>
    </row>
    <row r="63" spans="1:7" x14ac:dyDescent="0.3">
      <c r="A63" s="3"/>
      <c r="B63" s="3"/>
      <c r="C63" s="3"/>
      <c r="D63" s="3"/>
      <c r="E63" s="3"/>
      <c r="F63" s="3"/>
      <c r="G63" s="3"/>
    </row>
    <row r="64" spans="1:7" x14ac:dyDescent="0.3">
      <c r="A64" s="3"/>
      <c r="B64" s="3"/>
      <c r="C64" s="3"/>
      <c r="D64" s="3"/>
      <c r="E64" s="3"/>
      <c r="F64" s="3"/>
      <c r="G64" s="3"/>
    </row>
    <row r="65" spans="1:7" x14ac:dyDescent="0.3">
      <c r="A65" s="3"/>
      <c r="B65" s="3"/>
      <c r="C65" s="3"/>
      <c r="D65" s="3"/>
      <c r="E65" s="3"/>
      <c r="F65" s="3"/>
      <c r="G65" s="3"/>
    </row>
    <row r="66" spans="1:7" x14ac:dyDescent="0.3">
      <c r="A66" s="3"/>
      <c r="B66" s="3"/>
      <c r="C66" s="3"/>
      <c r="D66" s="3"/>
      <c r="E66" s="3"/>
      <c r="F66" s="3"/>
      <c r="G66" s="3"/>
    </row>
    <row r="67" spans="1:7" x14ac:dyDescent="0.3">
      <c r="A67" s="3"/>
      <c r="B67" s="3"/>
      <c r="C67" s="3"/>
      <c r="D67" s="3"/>
      <c r="E67" s="3"/>
      <c r="F67" s="3"/>
      <c r="G67" s="3"/>
    </row>
    <row r="68" spans="1:7" x14ac:dyDescent="0.3">
      <c r="A68" s="3"/>
      <c r="B68" s="3"/>
      <c r="C68" s="3"/>
      <c r="D68" s="3"/>
      <c r="E68" s="3"/>
      <c r="F68" s="3"/>
      <c r="G68" s="3"/>
    </row>
    <row r="69" spans="1:7" x14ac:dyDescent="0.3">
      <c r="A69" s="3"/>
      <c r="B69" s="3"/>
      <c r="C69" s="3"/>
      <c r="D69" s="3"/>
      <c r="E69" s="3"/>
      <c r="F69" s="3"/>
      <c r="G69" s="3"/>
    </row>
    <row r="70" spans="1:7" x14ac:dyDescent="0.3">
      <c r="A70" s="3"/>
      <c r="B70" s="3"/>
      <c r="C70" s="3"/>
      <c r="D70" s="3"/>
      <c r="E70" s="3"/>
      <c r="F70" s="3"/>
      <c r="G70" s="3"/>
    </row>
  </sheetData>
  <printOptions horizontalCentered="1"/>
  <pageMargins left="0.7" right="0.7" top="0.75" bottom="0.75" header="0.3" footer="0.3"/>
  <pageSetup scale="75"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F355C-0D49-4D78-8FB0-7EDA9C0DAAFC}">
  <dimension ref="A1:L75"/>
  <sheetViews>
    <sheetView workbookViewId="0">
      <selection sqref="A1:L1"/>
    </sheetView>
  </sheetViews>
  <sheetFormatPr defaultRowHeight="14.4" x14ac:dyDescent="0.3"/>
  <cols>
    <col min="1" max="1" width="7.33203125" bestFit="1" customWidth="1"/>
    <col min="2" max="3" width="11.6640625" bestFit="1" customWidth="1"/>
    <col min="5" max="6" width="11.6640625" bestFit="1" customWidth="1"/>
    <col min="8" max="8" width="11.44140625" customWidth="1"/>
    <col min="9" max="9" width="11.6640625" bestFit="1" customWidth="1"/>
    <col min="10" max="12" width="11.6640625" customWidth="1"/>
  </cols>
  <sheetData>
    <row r="1" spans="1:12" x14ac:dyDescent="0.3">
      <c r="A1" s="1" t="s">
        <v>3</v>
      </c>
      <c r="B1" s="1" t="s">
        <v>78</v>
      </c>
      <c r="C1" s="1" t="s">
        <v>80</v>
      </c>
      <c r="D1" s="1" t="s">
        <v>3</v>
      </c>
      <c r="E1" s="1" t="s">
        <v>78</v>
      </c>
      <c r="F1" s="1" t="s">
        <v>80</v>
      </c>
      <c r="G1" s="1" t="s">
        <v>3</v>
      </c>
      <c r="H1" s="1" t="s">
        <v>78</v>
      </c>
      <c r="I1" s="1" t="s">
        <v>80</v>
      </c>
      <c r="J1" s="1" t="s">
        <v>3</v>
      </c>
      <c r="K1" s="1" t="s">
        <v>78</v>
      </c>
      <c r="L1" s="1" t="s">
        <v>80</v>
      </c>
    </row>
    <row r="2" spans="1:12" x14ac:dyDescent="0.3">
      <c r="A2" s="2" t="s">
        <v>4</v>
      </c>
      <c r="B2" s="3">
        <v>1642860.4</v>
      </c>
      <c r="D2" s="2" t="s">
        <v>4</v>
      </c>
      <c r="E2" s="3">
        <v>1642860.4</v>
      </c>
      <c r="G2" s="2" t="s">
        <v>4</v>
      </c>
      <c r="H2" s="3">
        <v>1642860.4</v>
      </c>
      <c r="J2" s="2" t="s">
        <v>4</v>
      </c>
      <c r="K2" s="3">
        <v>1642860.4</v>
      </c>
    </row>
    <row r="3" spans="1:12" x14ac:dyDescent="0.3">
      <c r="A3" s="2" t="s">
        <v>5</v>
      </c>
      <c r="B3" s="3">
        <v>1654182.7</v>
      </c>
      <c r="D3" s="2" t="s">
        <v>5</v>
      </c>
      <c r="E3" s="3">
        <v>1654182.7</v>
      </c>
      <c r="G3" s="2" t="s">
        <v>5</v>
      </c>
      <c r="H3" s="3">
        <v>1654182.7</v>
      </c>
      <c r="J3" s="2" t="s">
        <v>5</v>
      </c>
      <c r="K3" s="3">
        <v>1654182.7</v>
      </c>
    </row>
    <row r="4" spans="1:12" x14ac:dyDescent="0.3">
      <c r="A4" s="2" t="s">
        <v>6</v>
      </c>
      <c r="B4" s="3">
        <v>1672558.3</v>
      </c>
      <c r="D4" s="2" t="s">
        <v>6</v>
      </c>
      <c r="E4" s="3">
        <v>1672558.3</v>
      </c>
      <c r="G4" s="2" t="s">
        <v>6</v>
      </c>
      <c r="H4" s="3">
        <v>1672558.3</v>
      </c>
      <c r="J4" s="2" t="s">
        <v>6</v>
      </c>
      <c r="K4" s="3">
        <v>1672558.3</v>
      </c>
    </row>
    <row r="5" spans="1:12" x14ac:dyDescent="0.3">
      <c r="A5" s="2" t="s">
        <v>7</v>
      </c>
      <c r="B5" s="3">
        <v>1699650.7</v>
      </c>
      <c r="D5" s="2" t="s">
        <v>7</v>
      </c>
      <c r="E5" s="3">
        <v>1699650.7</v>
      </c>
      <c r="G5" s="2" t="s">
        <v>7</v>
      </c>
      <c r="H5" s="3">
        <v>1699650.7</v>
      </c>
      <c r="J5" s="2" t="s">
        <v>7</v>
      </c>
      <c r="K5" s="3">
        <v>1699650.7</v>
      </c>
    </row>
    <row r="6" spans="1:12" x14ac:dyDescent="0.3">
      <c r="A6" s="2" t="s">
        <v>8</v>
      </c>
      <c r="B6" s="3">
        <v>1719792.7</v>
      </c>
      <c r="D6" s="2" t="s">
        <v>8</v>
      </c>
      <c r="E6" s="3">
        <v>1719792.7</v>
      </c>
      <c r="G6" s="2" t="s">
        <v>8</v>
      </c>
      <c r="H6" s="3">
        <v>1719792.7</v>
      </c>
      <c r="J6" s="2" t="s">
        <v>8</v>
      </c>
      <c r="K6" s="3">
        <v>1719792.7</v>
      </c>
    </row>
    <row r="7" spans="1:12" x14ac:dyDescent="0.3">
      <c r="A7" s="2" t="s">
        <v>9</v>
      </c>
      <c r="B7" s="3">
        <v>1742497.8</v>
      </c>
      <c r="D7" s="2" t="s">
        <v>9</v>
      </c>
      <c r="E7" s="3">
        <v>1742497.8</v>
      </c>
      <c r="G7" s="2" t="s">
        <v>9</v>
      </c>
      <c r="H7" s="3">
        <v>1742497.8</v>
      </c>
      <c r="J7" s="2" t="s">
        <v>9</v>
      </c>
      <c r="K7" s="3">
        <v>1742497.8</v>
      </c>
    </row>
    <row r="8" spans="1:12" x14ac:dyDescent="0.3">
      <c r="A8" s="2" t="s">
        <v>10</v>
      </c>
      <c r="B8" s="3">
        <v>1755960</v>
      </c>
      <c r="D8" s="2" t="s">
        <v>10</v>
      </c>
      <c r="E8" s="3">
        <v>1755960</v>
      </c>
      <c r="G8" s="2" t="s">
        <v>10</v>
      </c>
      <c r="H8" s="3">
        <v>1755960</v>
      </c>
      <c r="J8" s="2" t="s">
        <v>10</v>
      </c>
      <c r="K8" s="3">
        <v>1755960</v>
      </c>
    </row>
    <row r="9" spans="1:12" x14ac:dyDescent="0.3">
      <c r="A9" s="2" t="s">
        <v>11</v>
      </c>
      <c r="B9" s="3">
        <v>1767922.5</v>
      </c>
      <c r="D9" s="2" t="s">
        <v>11</v>
      </c>
      <c r="E9" s="3">
        <v>1767922.5</v>
      </c>
      <c r="G9" s="2" t="s">
        <v>11</v>
      </c>
      <c r="H9" s="3">
        <v>1767922.5</v>
      </c>
      <c r="J9" s="2" t="s">
        <v>11</v>
      </c>
      <c r="K9" s="3">
        <v>1767922.5</v>
      </c>
    </row>
    <row r="10" spans="1:12" x14ac:dyDescent="0.3">
      <c r="A10" s="2" t="s">
        <v>12</v>
      </c>
      <c r="B10" s="3">
        <v>1772384.2</v>
      </c>
      <c r="D10" s="2" t="s">
        <v>12</v>
      </c>
      <c r="E10" s="3">
        <v>1772384.2</v>
      </c>
      <c r="G10" s="2" t="s">
        <v>12</v>
      </c>
      <c r="H10" s="3">
        <v>1772384.2</v>
      </c>
      <c r="J10" s="2" t="s">
        <v>12</v>
      </c>
      <c r="K10" s="3">
        <v>1772384.2</v>
      </c>
    </row>
    <row r="11" spans="1:12" x14ac:dyDescent="0.3">
      <c r="A11" s="2" t="s">
        <v>13</v>
      </c>
      <c r="B11" s="3">
        <v>1790077.5</v>
      </c>
      <c r="D11" s="2" t="s">
        <v>13</v>
      </c>
      <c r="E11" s="3">
        <v>1790077.5</v>
      </c>
      <c r="G11" s="2" t="s">
        <v>13</v>
      </c>
      <c r="H11" s="3">
        <v>1790077.5</v>
      </c>
      <c r="J11" s="2" t="s">
        <v>13</v>
      </c>
      <c r="K11" s="3">
        <v>1790077.5</v>
      </c>
    </row>
    <row r="12" spans="1:12" x14ac:dyDescent="0.3">
      <c r="A12" s="2" t="s">
        <v>14</v>
      </c>
      <c r="B12" s="3">
        <v>1826002.2</v>
      </c>
      <c r="D12" s="2" t="s">
        <v>14</v>
      </c>
      <c r="E12" s="3">
        <v>1826002.2</v>
      </c>
      <c r="G12" s="2" t="s">
        <v>14</v>
      </c>
      <c r="H12" s="3">
        <v>1826002.2</v>
      </c>
      <c r="J12" s="2" t="s">
        <v>14</v>
      </c>
      <c r="K12" s="3">
        <v>1826002.2</v>
      </c>
    </row>
    <row r="13" spans="1:12" x14ac:dyDescent="0.3">
      <c r="A13" s="2" t="s">
        <v>15</v>
      </c>
      <c r="B13" s="3">
        <v>1838480.4</v>
      </c>
      <c r="D13" s="2" t="s">
        <v>15</v>
      </c>
      <c r="E13" s="3">
        <v>1838480.4</v>
      </c>
      <c r="G13" s="2" t="s">
        <v>15</v>
      </c>
      <c r="H13" s="3">
        <v>1838480.4</v>
      </c>
      <c r="J13" s="2" t="s">
        <v>15</v>
      </c>
      <c r="K13" s="3">
        <v>1838480.4</v>
      </c>
    </row>
    <row r="14" spans="1:12" x14ac:dyDescent="0.3">
      <c r="A14" s="2" t="s">
        <v>16</v>
      </c>
      <c r="B14" s="3">
        <v>1807085.1</v>
      </c>
      <c r="D14" s="2" t="s">
        <v>16</v>
      </c>
      <c r="E14" s="3"/>
      <c r="G14" s="2" t="s">
        <v>16</v>
      </c>
      <c r="H14" s="3"/>
      <c r="J14" s="2" t="s">
        <v>16</v>
      </c>
      <c r="K14" s="3"/>
      <c r="L14" s="3">
        <f>F36/B35*H13</f>
        <v>1865765.9571128238</v>
      </c>
    </row>
    <row r="15" spans="1:12" x14ac:dyDescent="0.3">
      <c r="A15" s="2" t="s">
        <v>17</v>
      </c>
      <c r="B15" s="3">
        <v>1687609.8</v>
      </c>
      <c r="D15" s="2" t="s">
        <v>17</v>
      </c>
      <c r="E15" s="3"/>
      <c r="G15" s="2" t="s">
        <v>17</v>
      </c>
      <c r="H15" s="3"/>
      <c r="J15" s="2" t="s">
        <v>17</v>
      </c>
      <c r="K15" s="3"/>
      <c r="L15" s="3">
        <f>I37/I36*L14</f>
        <v>1882065.7663614724</v>
      </c>
    </row>
    <row r="16" spans="1:12" x14ac:dyDescent="0.3">
      <c r="A16" s="2" t="s">
        <v>18</v>
      </c>
      <c r="B16" s="3">
        <v>1803693</v>
      </c>
      <c r="D16" s="2" t="s">
        <v>18</v>
      </c>
      <c r="E16" s="3"/>
      <c r="G16" s="2" t="s">
        <v>18</v>
      </c>
      <c r="H16" s="3"/>
      <c r="J16" s="2" t="s">
        <v>18</v>
      </c>
      <c r="K16" s="3"/>
      <c r="L16" s="3">
        <f>I38/I37*L15</f>
        <v>1912732.0576079378</v>
      </c>
    </row>
    <row r="17" spans="1:12" x14ac:dyDescent="0.3">
      <c r="A17" s="2" t="s">
        <v>19</v>
      </c>
      <c r="B17" s="3">
        <v>1832565</v>
      </c>
      <c r="D17" s="2" t="s">
        <v>19</v>
      </c>
      <c r="E17" s="3"/>
      <c r="G17" s="2" t="s">
        <v>19</v>
      </c>
      <c r="H17" s="3"/>
      <c r="J17" s="2" t="s">
        <v>19</v>
      </c>
      <c r="K17" s="3"/>
      <c r="L17" s="3">
        <f>I39/I38*L16</f>
        <v>1960005.549046699</v>
      </c>
    </row>
    <row r="18" spans="1:12" x14ac:dyDescent="0.3">
      <c r="A18" s="2" t="s">
        <v>20</v>
      </c>
      <c r="B18" s="3">
        <v>1866112.8</v>
      </c>
      <c r="D18" s="2" t="s">
        <v>20</v>
      </c>
      <c r="E18" s="3"/>
      <c r="G18" s="2" t="s">
        <v>20</v>
      </c>
      <c r="H18" s="3"/>
      <c r="J18" s="2" t="s">
        <v>20</v>
      </c>
      <c r="K18" s="3"/>
      <c r="L18" s="3">
        <f>I40/I39*L17</f>
        <v>1975318.4715815336</v>
      </c>
    </row>
    <row r="19" spans="1:12" x14ac:dyDescent="0.3">
      <c r="A19" s="2" t="s">
        <v>21</v>
      </c>
      <c r="B19" s="3">
        <v>1898855.4</v>
      </c>
      <c r="D19" s="2" t="s">
        <v>21</v>
      </c>
      <c r="E19" s="3"/>
      <c r="G19" s="2" t="s">
        <v>21</v>
      </c>
      <c r="H19" s="3"/>
      <c r="J19" s="2" t="s">
        <v>21</v>
      </c>
      <c r="K19" s="3"/>
      <c r="L19" s="3">
        <f>I41/I40*L18</f>
        <v>1990744.6434113961</v>
      </c>
    </row>
    <row r="20" spans="1:12" x14ac:dyDescent="0.3">
      <c r="A20" s="2" t="s">
        <v>22</v>
      </c>
      <c r="B20" s="3">
        <v>1915349.8</v>
      </c>
      <c r="D20" s="2" t="s">
        <v>22</v>
      </c>
      <c r="E20" s="3"/>
      <c r="G20" s="2" t="s">
        <v>22</v>
      </c>
      <c r="H20" s="3"/>
      <c r="J20" s="2" t="s">
        <v>22</v>
      </c>
      <c r="K20" s="3"/>
      <c r="L20" s="3">
        <f>I42/I41*L19</f>
        <v>2041027.3304037538</v>
      </c>
    </row>
    <row r="21" spans="1:12" x14ac:dyDescent="0.3">
      <c r="A21" s="2" t="s">
        <v>23</v>
      </c>
      <c r="B21" s="3">
        <v>1941731.7</v>
      </c>
      <c r="D21" s="2" t="s">
        <v>23</v>
      </c>
      <c r="E21" s="3"/>
      <c r="G21" s="2" t="s">
        <v>23</v>
      </c>
      <c r="H21" s="3"/>
      <c r="J21" s="2" t="s">
        <v>23</v>
      </c>
      <c r="K21" s="3"/>
      <c r="L21" s="3">
        <f>I43/I42*L20</f>
        <v>2076636.1444546483</v>
      </c>
    </row>
    <row r="22" spans="1:12" x14ac:dyDescent="0.3">
      <c r="A22" s="2" t="s">
        <v>24</v>
      </c>
      <c r="B22" s="3">
        <v>1949201.5</v>
      </c>
      <c r="D22" s="2" t="s">
        <v>24</v>
      </c>
      <c r="E22" s="3"/>
      <c r="G22" s="2" t="s">
        <v>24</v>
      </c>
      <c r="H22" s="3"/>
      <c r="J22" s="2" t="s">
        <v>24</v>
      </c>
      <c r="K22" s="3"/>
      <c r="L22" s="3">
        <f>I44/I43*L21</f>
        <v>2088155.2156060506</v>
      </c>
    </row>
    <row r="23" spans="1:12" x14ac:dyDescent="0.3">
      <c r="A23" s="2" t="s">
        <v>25</v>
      </c>
      <c r="B23" s="3">
        <v>1948982</v>
      </c>
      <c r="D23" s="2" t="s">
        <v>25</v>
      </c>
      <c r="E23" s="3"/>
      <c r="G23" s="2" t="s">
        <v>25</v>
      </c>
      <c r="H23" s="3"/>
      <c r="J23" s="2" t="s">
        <v>25</v>
      </c>
      <c r="K23" s="3"/>
      <c r="L23" s="3">
        <f>I45/I44*L22</f>
        <v>2120075.3383331811</v>
      </c>
    </row>
    <row r="24" spans="1:12" x14ac:dyDescent="0.3">
      <c r="A24" s="2" t="s">
        <v>26</v>
      </c>
      <c r="B24" s="3">
        <v>1979467.7</v>
      </c>
      <c r="D24" s="2" t="s">
        <v>26</v>
      </c>
      <c r="E24" s="3"/>
      <c r="G24" s="2" t="s">
        <v>26</v>
      </c>
      <c r="H24" s="3"/>
      <c r="J24" s="2" t="s">
        <v>26</v>
      </c>
      <c r="K24" s="3"/>
      <c r="L24" s="3">
        <f>I46/I45*L23</f>
        <v>2131958.4250757443</v>
      </c>
    </row>
    <row r="25" spans="1:12" x14ac:dyDescent="0.3">
      <c r="A25" s="2" t="s">
        <v>27</v>
      </c>
      <c r="B25" s="3">
        <v>2023005</v>
      </c>
      <c r="D25" s="2" t="s">
        <v>27</v>
      </c>
      <c r="E25" s="3"/>
      <c r="G25" s="2" t="s">
        <v>27</v>
      </c>
      <c r="H25" s="3"/>
      <c r="J25" s="2" t="s">
        <v>27</v>
      </c>
      <c r="K25" s="3"/>
      <c r="L25" s="3">
        <f>I47/I46*L24</f>
        <v>2143857.6902890261</v>
      </c>
    </row>
    <row r="26" spans="1:12" x14ac:dyDescent="0.3">
      <c r="A26" s="2" t="s">
        <v>28</v>
      </c>
      <c r="B26" s="3">
        <v>2089240.6</v>
      </c>
      <c r="D26" s="2" t="s">
        <v>28</v>
      </c>
      <c r="E26" s="3"/>
      <c r="G26" s="2" t="s">
        <v>28</v>
      </c>
      <c r="H26" s="3"/>
      <c r="J26" s="2" t="s">
        <v>28</v>
      </c>
      <c r="K26" s="3"/>
      <c r="L26" s="3">
        <f>I48/I47*L25</f>
        <v>2170422.7392084124</v>
      </c>
    </row>
    <row r="27" spans="1:12" x14ac:dyDescent="0.3">
      <c r="A27" s="2" t="s">
        <v>29</v>
      </c>
      <c r="B27" s="3">
        <v>2120627.5</v>
      </c>
      <c r="D27" s="2" t="s">
        <v>29</v>
      </c>
      <c r="E27" s="3"/>
      <c r="G27" s="2" t="s">
        <v>29</v>
      </c>
      <c r="H27" s="3"/>
      <c r="J27" s="2" t="s">
        <v>29</v>
      </c>
      <c r="K27" s="3"/>
      <c r="L27" s="3">
        <f>I49/I48*L26</f>
        <v>2152319.0304746777</v>
      </c>
    </row>
    <row r="28" spans="1:12" x14ac:dyDescent="0.3">
      <c r="A28" s="2" t="s">
        <v>30</v>
      </c>
      <c r="B28" s="3">
        <v>2154934.7000000002</v>
      </c>
      <c r="D28" s="2" t="s">
        <v>30</v>
      </c>
      <c r="E28" s="3"/>
      <c r="G28" s="2" t="s">
        <v>30</v>
      </c>
      <c r="H28" s="3"/>
      <c r="J28" s="2" t="s">
        <v>30</v>
      </c>
      <c r="K28" s="3"/>
      <c r="L28" s="3">
        <f>I50/I49*L27</f>
        <v>2138259.9394205082</v>
      </c>
    </row>
    <row r="29" spans="1:12" x14ac:dyDescent="0.3">
      <c r="A29" s="2" t="s">
        <v>31</v>
      </c>
      <c r="B29" s="3">
        <v>2185343.9</v>
      </c>
      <c r="D29" s="2" t="s">
        <v>31</v>
      </c>
      <c r="E29" s="3"/>
      <c r="G29" s="2" t="s">
        <v>31</v>
      </c>
      <c r="H29" s="3"/>
      <c r="J29" s="2" t="s">
        <v>31</v>
      </c>
      <c r="K29" s="3"/>
      <c r="L29" s="3">
        <f>I51/I50*L28</f>
        <v>2148217.7881475985</v>
      </c>
    </row>
    <row r="30" spans="1:12" x14ac:dyDescent="0.3">
      <c r="A30" s="2" t="s">
        <v>32</v>
      </c>
      <c r="B30" s="3">
        <v>2181915.6</v>
      </c>
      <c r="D30" s="2" t="s">
        <v>32</v>
      </c>
      <c r="E30" s="3"/>
      <c r="G30" s="2" t="s">
        <v>32</v>
      </c>
      <c r="H30" s="3"/>
      <c r="J30" s="2" t="s">
        <v>32</v>
      </c>
      <c r="K30" s="3"/>
      <c r="L30" s="3">
        <f>I52/I51*L29</f>
        <v>2148905.3731531249</v>
      </c>
    </row>
    <row r="31" spans="1:12" x14ac:dyDescent="0.3">
      <c r="A31" s="2" t="s">
        <v>33</v>
      </c>
      <c r="B31" s="3">
        <v>2212455.2999999998</v>
      </c>
      <c r="D31" s="2" t="s">
        <v>33</v>
      </c>
      <c r="E31" s="3"/>
      <c r="G31" s="2" t="s">
        <v>33</v>
      </c>
      <c r="H31" s="3"/>
      <c r="J31" s="2" t="s">
        <v>33</v>
      </c>
      <c r="K31" s="3"/>
      <c r="L31" s="3">
        <f>I53/I52*L30</f>
        <v>2177023.5552614639</v>
      </c>
    </row>
    <row r="32" spans="1:12" x14ac:dyDescent="0.3">
      <c r="A32" s="2" t="s">
        <v>34</v>
      </c>
      <c r="B32" s="3">
        <v>2240377.7000000002</v>
      </c>
      <c r="D32" s="2" t="s">
        <v>34</v>
      </c>
      <c r="E32" s="3"/>
      <c r="G32" s="2" t="s">
        <v>34</v>
      </c>
      <c r="H32" s="3"/>
      <c r="J32" s="2" t="s">
        <v>34</v>
      </c>
      <c r="K32" s="3"/>
      <c r="L32" s="3">
        <f>I54/I53*L31</f>
        <v>2179919.5015200325</v>
      </c>
    </row>
    <row r="33" spans="1:12" x14ac:dyDescent="0.3">
      <c r="A33" s="2" t="s">
        <v>35</v>
      </c>
      <c r="B33" s="3">
        <v>2253024.5</v>
      </c>
      <c r="D33" s="2" t="s">
        <v>35</v>
      </c>
      <c r="E33" s="3"/>
      <c r="G33" s="2" t="s">
        <v>35</v>
      </c>
      <c r="H33" s="3"/>
      <c r="J33" s="2" t="s">
        <v>35</v>
      </c>
      <c r="K33" s="3"/>
      <c r="L33" s="3">
        <f>I55/I54*L32</f>
        <v>2172234.7279288583</v>
      </c>
    </row>
    <row r="34" spans="1:12" x14ac:dyDescent="0.3">
      <c r="A34" s="2" t="s">
        <v>36</v>
      </c>
      <c r="B34" s="3">
        <v>2235879.6</v>
      </c>
      <c r="D34" s="2" t="s">
        <v>36</v>
      </c>
      <c r="E34" s="3"/>
      <c r="G34" s="2" t="s">
        <v>36</v>
      </c>
      <c r="H34" s="3"/>
      <c r="J34" s="2" t="s">
        <v>36</v>
      </c>
      <c r="K34" s="3"/>
      <c r="L34" s="3">
        <f>I56/I55*L33</f>
        <v>2224725.7761742584</v>
      </c>
    </row>
    <row r="35" spans="1:12" x14ac:dyDescent="0.3">
      <c r="A35" s="2" t="s">
        <v>37</v>
      </c>
      <c r="B35" s="3">
        <v>2272749.2999999998</v>
      </c>
      <c r="D35" s="2" t="s">
        <v>37</v>
      </c>
      <c r="E35" s="3"/>
      <c r="G35" s="2" t="s">
        <v>37</v>
      </c>
      <c r="H35" s="3"/>
      <c r="J35" s="2" t="s">
        <v>37</v>
      </c>
      <c r="K35" s="3"/>
      <c r="L35" s="3">
        <f>I57/I56*L34</f>
        <v>2242287.5061389315</v>
      </c>
    </row>
    <row r="36" spans="1:12" x14ac:dyDescent="0.3">
      <c r="A36" s="2" t="s">
        <v>38</v>
      </c>
      <c r="C36" s="3">
        <v>2306480</v>
      </c>
      <c r="D36" s="2" t="s">
        <v>38</v>
      </c>
      <c r="F36" s="3">
        <v>2306480</v>
      </c>
      <c r="G36" s="2" t="s">
        <v>38</v>
      </c>
      <c r="I36" s="3">
        <f>F36/B35*H13</f>
        <v>1865765.9571128238</v>
      </c>
      <c r="J36" s="2" t="s">
        <v>38</v>
      </c>
      <c r="L36" s="3">
        <f>I58/I57*L35</f>
        <v>2266304.4459201912</v>
      </c>
    </row>
    <row r="37" spans="1:12" x14ac:dyDescent="0.3">
      <c r="A37" s="2" t="s">
        <v>39</v>
      </c>
      <c r="C37" s="3">
        <v>2326630</v>
      </c>
      <c r="D37" s="2" t="s">
        <v>39</v>
      </c>
      <c r="F37" s="3">
        <v>2326630</v>
      </c>
      <c r="G37" s="2" t="s">
        <v>39</v>
      </c>
      <c r="I37" s="3">
        <f>F37/F36*I36</f>
        <v>1882065.7663614724</v>
      </c>
      <c r="J37" s="2" t="s">
        <v>39</v>
      </c>
      <c r="L37" s="3">
        <f>I59/I58*L36</f>
        <v>2258053.4258538778</v>
      </c>
    </row>
    <row r="38" spans="1:12" x14ac:dyDescent="0.3">
      <c r="A38" s="2" t="s">
        <v>40</v>
      </c>
      <c r="C38" s="3">
        <v>2364540</v>
      </c>
      <c r="D38" s="2" t="s">
        <v>40</v>
      </c>
      <c r="F38" s="3">
        <v>2364540</v>
      </c>
      <c r="G38" s="2" t="s">
        <v>40</v>
      </c>
      <c r="I38" s="3">
        <f>F38/F37*I37</f>
        <v>1912732.0576079378</v>
      </c>
      <c r="J38" s="2" t="s">
        <v>40</v>
      </c>
      <c r="L38" s="3">
        <f>I60/I59*L37</f>
        <v>2268949.6258826274</v>
      </c>
    </row>
    <row r="39" spans="1:12" x14ac:dyDescent="0.3">
      <c r="A39" s="2" t="s">
        <v>41</v>
      </c>
      <c r="C39" s="3">
        <v>2422980</v>
      </c>
      <c r="D39" s="2" t="s">
        <v>41</v>
      </c>
      <c r="F39" s="3">
        <v>2422980</v>
      </c>
      <c r="G39" s="2" t="s">
        <v>41</v>
      </c>
      <c r="I39" s="3">
        <f>F39/F38*I38</f>
        <v>1960005.549046699</v>
      </c>
      <c r="J39" s="2" t="s">
        <v>41</v>
      </c>
      <c r="L39" s="3">
        <f>I61/I60*L38</f>
        <v>2294204.2186738341</v>
      </c>
    </row>
    <row r="40" spans="1:12" x14ac:dyDescent="0.3">
      <c r="A40" s="2" t="s">
        <v>42</v>
      </c>
      <c r="C40" s="3">
        <v>2441910</v>
      </c>
      <c r="D40" s="2" t="s">
        <v>42</v>
      </c>
      <c r="F40" s="3">
        <v>2441910</v>
      </c>
      <c r="G40" s="2" t="s">
        <v>42</v>
      </c>
      <c r="I40" s="3">
        <f>F40/F39*I39</f>
        <v>1975318.4715815336</v>
      </c>
      <c r="J40" s="2" t="s">
        <v>42</v>
      </c>
      <c r="L40" s="3">
        <f>I62/I61*L39</f>
        <v>2291890.6973611228</v>
      </c>
    </row>
    <row r="41" spans="1:12" x14ac:dyDescent="0.3">
      <c r="A41" s="2" t="s">
        <v>43</v>
      </c>
      <c r="C41" s="3">
        <v>2460980</v>
      </c>
      <c r="D41" s="2" t="s">
        <v>43</v>
      </c>
      <c r="F41" s="3">
        <v>2460980</v>
      </c>
      <c r="G41" s="2" t="s">
        <v>43</v>
      </c>
      <c r="I41" s="3">
        <f>F41/F40*I40</f>
        <v>1990744.6434113961</v>
      </c>
      <c r="J41" s="2" t="s">
        <v>43</v>
      </c>
      <c r="L41" s="3">
        <f>I63/I62*L40</f>
        <v>2323244.5736131137</v>
      </c>
    </row>
    <row r="42" spans="1:12" x14ac:dyDescent="0.3">
      <c r="A42" s="2" t="s">
        <v>44</v>
      </c>
      <c r="C42" s="3">
        <v>2523140</v>
      </c>
      <c r="D42" s="2" t="s">
        <v>44</v>
      </c>
      <c r="F42" s="3">
        <v>2523140</v>
      </c>
      <c r="G42" s="2" t="s">
        <v>44</v>
      </c>
      <c r="I42" s="3">
        <f>F42/F41*I41</f>
        <v>2041027.3304037538</v>
      </c>
      <c r="J42" s="2" t="s">
        <v>44</v>
      </c>
      <c r="L42" s="3">
        <f>I64/I63*L41</f>
        <v>2333194.3331048451</v>
      </c>
    </row>
    <row r="43" spans="1:12" x14ac:dyDescent="0.3">
      <c r="A43" s="2" t="s">
        <v>45</v>
      </c>
      <c r="C43" s="3">
        <v>2567160</v>
      </c>
      <c r="D43" s="2" t="s">
        <v>45</v>
      </c>
      <c r="F43" s="3">
        <v>2567160</v>
      </c>
      <c r="G43" s="2" t="s">
        <v>45</v>
      </c>
      <c r="I43" s="3">
        <f>F43/F42*I42</f>
        <v>2076636.1444546483</v>
      </c>
      <c r="J43" s="2" t="s">
        <v>45</v>
      </c>
      <c r="L43" s="3">
        <f>I65/I64*L42</f>
        <v>2350133.1919468655</v>
      </c>
    </row>
    <row r="44" spans="1:12" x14ac:dyDescent="0.3">
      <c r="A44" s="2" t="s">
        <v>46</v>
      </c>
      <c r="C44" s="3">
        <v>2581400</v>
      </c>
      <c r="D44" s="2" t="s">
        <v>46</v>
      </c>
      <c r="F44" s="3">
        <v>2581400</v>
      </c>
      <c r="G44" s="2" t="s">
        <v>46</v>
      </c>
      <c r="I44" s="3">
        <f>F44/F43*I43</f>
        <v>2088155.2156060506</v>
      </c>
      <c r="J44" s="2" t="s">
        <v>46</v>
      </c>
      <c r="L44" s="3">
        <f>I66/I65*L43</f>
        <v>2360180.0222629062</v>
      </c>
    </row>
    <row r="45" spans="1:12" x14ac:dyDescent="0.3">
      <c r="A45" s="2" t="s">
        <v>47</v>
      </c>
      <c r="C45" s="3">
        <v>2620860</v>
      </c>
      <c r="D45" s="2" t="s">
        <v>47</v>
      </c>
      <c r="F45" s="3">
        <v>2620860</v>
      </c>
      <c r="G45" s="2" t="s">
        <v>47</v>
      </c>
      <c r="I45" s="3">
        <f>F45/F44*I44</f>
        <v>2120075.3383331811</v>
      </c>
      <c r="J45" s="2" t="s">
        <v>47</v>
      </c>
      <c r="L45" s="3">
        <f>I67/I66*L44</f>
        <v>2425985.9519094359</v>
      </c>
    </row>
    <row r="46" spans="1:12" x14ac:dyDescent="0.3">
      <c r="A46" s="2" t="s">
        <v>48</v>
      </c>
      <c r="C46" s="3">
        <v>2635550</v>
      </c>
      <c r="D46" s="2" t="s">
        <v>48</v>
      </c>
      <c r="F46" s="3">
        <v>2635550</v>
      </c>
      <c r="G46" s="2" t="s">
        <v>48</v>
      </c>
      <c r="I46" s="3">
        <f>F46/F45*I45</f>
        <v>2131958.4250757443</v>
      </c>
      <c r="J46" s="2" t="s">
        <v>48</v>
      </c>
      <c r="L46" s="3">
        <f>I68/I67*L45</f>
        <v>2450091.873279646</v>
      </c>
    </row>
    <row r="47" spans="1:12" x14ac:dyDescent="0.3">
      <c r="A47" s="2" t="s">
        <v>49</v>
      </c>
      <c r="C47" s="3">
        <v>2650260</v>
      </c>
      <c r="D47" s="2" t="s">
        <v>49</v>
      </c>
      <c r="F47" s="3">
        <v>2650260</v>
      </c>
      <c r="G47" s="2" t="s">
        <v>49</v>
      </c>
      <c r="I47" s="3">
        <f>F47/F46*I46</f>
        <v>2143857.6902890261</v>
      </c>
      <c r="J47" s="2" t="s">
        <v>49</v>
      </c>
      <c r="L47" s="3">
        <f>I69/I68*L46</f>
        <v>2449816.8392774356</v>
      </c>
    </row>
    <row r="48" spans="1:12" x14ac:dyDescent="0.3">
      <c r="A48" s="2" t="s">
        <v>50</v>
      </c>
      <c r="C48" s="3">
        <v>2683100</v>
      </c>
      <c r="D48" s="2" t="s">
        <v>50</v>
      </c>
      <c r="F48" s="3">
        <v>2683100</v>
      </c>
      <c r="G48" s="2" t="s">
        <v>50</v>
      </c>
      <c r="I48" s="3">
        <f>F48/F47*I47</f>
        <v>2170422.7392084124</v>
      </c>
      <c r="J48" s="2" t="s">
        <v>50</v>
      </c>
      <c r="L48" s="3">
        <f>I70/I69*L47</f>
        <v>2493854.636572544</v>
      </c>
    </row>
    <row r="49" spans="1:12" x14ac:dyDescent="0.3">
      <c r="A49" s="2" t="s">
        <v>51</v>
      </c>
      <c r="C49" s="3">
        <v>2660720</v>
      </c>
      <c r="D49" s="2" t="s">
        <v>51</v>
      </c>
      <c r="F49" s="3">
        <v>2660720</v>
      </c>
      <c r="G49" s="2" t="s">
        <v>51</v>
      </c>
      <c r="I49" s="3">
        <f>F49/F48*I48</f>
        <v>2152319.0304746777</v>
      </c>
      <c r="J49" s="2" t="s">
        <v>51</v>
      </c>
      <c r="L49" s="3">
        <f>I71/I70*L48</f>
        <v>2489664.4126565144</v>
      </c>
    </row>
    <row r="50" spans="1:12" x14ac:dyDescent="0.3">
      <c r="A50" s="2" t="s">
        <v>52</v>
      </c>
      <c r="C50" s="3">
        <v>2643340</v>
      </c>
      <c r="D50" s="2" t="s">
        <v>52</v>
      </c>
      <c r="F50" s="3">
        <v>2643340</v>
      </c>
      <c r="G50" s="2" t="s">
        <v>52</v>
      </c>
      <c r="I50" s="3">
        <f>F50/F49*I49</f>
        <v>2138259.9394205082</v>
      </c>
      <c r="J50" s="2" t="s">
        <v>52</v>
      </c>
      <c r="L50" s="3">
        <f>I72/I71*L49</f>
        <v>2519724.0112510449</v>
      </c>
    </row>
    <row r="51" spans="1:12" x14ac:dyDescent="0.3">
      <c r="A51" s="2" t="s">
        <v>53</v>
      </c>
      <c r="C51" s="3">
        <v>2655650</v>
      </c>
      <c r="D51" s="2" t="s">
        <v>53</v>
      </c>
      <c r="F51" s="3">
        <v>2655650</v>
      </c>
      <c r="G51" s="2" t="s">
        <v>53</v>
      </c>
      <c r="I51" s="3">
        <f>F51/F50*I50</f>
        <v>2148217.7881475985</v>
      </c>
      <c r="J51" s="2" t="s">
        <v>53</v>
      </c>
      <c r="L51" s="3">
        <f>I73/I72*L50</f>
        <v>2497575.6848377446</v>
      </c>
    </row>
    <row r="52" spans="1:12" x14ac:dyDescent="0.3">
      <c r="A52" s="2" t="s">
        <v>54</v>
      </c>
      <c r="C52" s="3">
        <v>2656500</v>
      </c>
      <c r="D52" s="2" t="s">
        <v>54</v>
      </c>
      <c r="F52" s="3">
        <v>2656500</v>
      </c>
      <c r="G52" s="2" t="s">
        <v>54</v>
      </c>
      <c r="I52" s="3">
        <f>F52/F51*I51</f>
        <v>2148905.3731531249</v>
      </c>
      <c r="J52" s="2" t="s">
        <v>54</v>
      </c>
      <c r="L52" s="3">
        <f>I74/I73*L51</f>
        <v>2490796.9056067928</v>
      </c>
    </row>
    <row r="53" spans="1:12" x14ac:dyDescent="0.3">
      <c r="A53" s="2" t="s">
        <v>55</v>
      </c>
      <c r="C53" s="3">
        <v>2691260</v>
      </c>
      <c r="D53" s="2" t="s">
        <v>55</v>
      </c>
      <c r="F53" s="3">
        <v>2691260</v>
      </c>
      <c r="G53" s="2" t="s">
        <v>55</v>
      </c>
      <c r="I53" s="3">
        <f>F53/F52*I52</f>
        <v>2177023.5552614639</v>
      </c>
      <c r="J53" s="2" t="s">
        <v>55</v>
      </c>
      <c r="L53" s="3">
        <f>I75/I74*L52</f>
        <v>2520581.4701991128</v>
      </c>
    </row>
    <row r="54" spans="1:12" x14ac:dyDescent="0.3">
      <c r="A54" s="2" t="s">
        <v>56</v>
      </c>
      <c r="C54" s="3">
        <v>2694840</v>
      </c>
      <c r="D54" s="2" t="s">
        <v>56</v>
      </c>
      <c r="F54" s="3">
        <v>2694840</v>
      </c>
      <c r="G54" s="2" t="s">
        <v>56</v>
      </c>
      <c r="I54" s="3">
        <f>F54/F53*I53</f>
        <v>2179919.5015200325</v>
      </c>
      <c r="J54" s="2" t="s">
        <v>56</v>
      </c>
    </row>
    <row r="55" spans="1:12" x14ac:dyDescent="0.3">
      <c r="A55" s="2" t="s">
        <v>57</v>
      </c>
      <c r="C55" s="3">
        <v>2685340</v>
      </c>
      <c r="D55" s="2" t="s">
        <v>57</v>
      </c>
      <c r="F55" s="3">
        <v>2685340</v>
      </c>
      <c r="G55" s="2" t="s">
        <v>57</v>
      </c>
      <c r="I55" s="3">
        <f>F55/F54*I54</f>
        <v>2172234.7279288583</v>
      </c>
      <c r="J55" s="2" t="s">
        <v>57</v>
      </c>
    </row>
    <row r="56" spans="1:12" x14ac:dyDescent="0.3">
      <c r="A56" s="2" t="s">
        <v>58</v>
      </c>
      <c r="C56" s="3">
        <v>2750230</v>
      </c>
      <c r="D56" s="2" t="s">
        <v>58</v>
      </c>
      <c r="F56" s="3">
        <v>2750230</v>
      </c>
      <c r="G56" s="2" t="s">
        <v>58</v>
      </c>
      <c r="I56" s="3">
        <f>F56/F55*I55</f>
        <v>2224725.7761742584</v>
      </c>
      <c r="J56" s="2" t="s">
        <v>58</v>
      </c>
    </row>
    <row r="57" spans="1:12" x14ac:dyDescent="0.3">
      <c r="A57" s="2" t="s">
        <v>59</v>
      </c>
      <c r="C57" s="3">
        <v>2771940</v>
      </c>
      <c r="D57" s="2" t="s">
        <v>59</v>
      </c>
      <c r="F57" s="3">
        <v>2771940</v>
      </c>
      <c r="G57" s="2" t="s">
        <v>59</v>
      </c>
      <c r="I57" s="3">
        <f>F57/F56*I56</f>
        <v>2242287.5061389315</v>
      </c>
      <c r="J57" s="2" t="s">
        <v>59</v>
      </c>
    </row>
    <row r="58" spans="1:12" x14ac:dyDescent="0.3">
      <c r="A58" s="2" t="s">
        <v>60</v>
      </c>
      <c r="C58" s="3">
        <v>2801630</v>
      </c>
      <c r="D58" s="2" t="s">
        <v>60</v>
      </c>
      <c r="F58" s="3">
        <v>2801630</v>
      </c>
      <c r="G58" s="2" t="s">
        <v>60</v>
      </c>
      <c r="I58" s="3">
        <f>F58/F57*I57</f>
        <v>2266304.4459201912</v>
      </c>
      <c r="J58" s="2" t="s">
        <v>60</v>
      </c>
    </row>
    <row r="59" spans="1:12" x14ac:dyDescent="0.3">
      <c r="A59" s="2" t="s">
        <v>61</v>
      </c>
      <c r="C59" s="3">
        <v>2791430</v>
      </c>
      <c r="D59" s="2" t="s">
        <v>61</v>
      </c>
      <c r="F59" s="3">
        <v>2791430</v>
      </c>
      <c r="G59" s="2" t="s">
        <v>61</v>
      </c>
      <c r="I59" s="3">
        <f>F59/F58*I58</f>
        <v>2258053.4258538778</v>
      </c>
      <c r="J59" s="2" t="s">
        <v>61</v>
      </c>
    </row>
    <row r="60" spans="1:12" x14ac:dyDescent="0.3">
      <c r="A60" s="2" t="s">
        <v>62</v>
      </c>
      <c r="C60" s="3">
        <v>2804900</v>
      </c>
      <c r="D60" s="2" t="s">
        <v>62</v>
      </c>
      <c r="F60" s="3">
        <v>2804900</v>
      </c>
      <c r="G60" s="2" t="s">
        <v>62</v>
      </c>
      <c r="I60" s="3">
        <f>F60/F59*I59</f>
        <v>2268949.6258826274</v>
      </c>
      <c r="J60" s="2" t="s">
        <v>62</v>
      </c>
    </row>
    <row r="61" spans="1:12" x14ac:dyDescent="0.3">
      <c r="A61" s="2" t="s">
        <v>63</v>
      </c>
      <c r="C61" s="3">
        <v>2836120</v>
      </c>
      <c r="D61" s="2" t="s">
        <v>63</v>
      </c>
      <c r="F61" s="3">
        <v>2836120</v>
      </c>
      <c r="G61" s="2" t="s">
        <v>63</v>
      </c>
      <c r="I61" s="3">
        <f>F61/F60*I60</f>
        <v>2294204.2186738341</v>
      </c>
      <c r="J61" s="2" t="s">
        <v>63</v>
      </c>
    </row>
    <row r="62" spans="1:12" x14ac:dyDescent="0.3">
      <c r="A62" s="2" t="s">
        <v>64</v>
      </c>
      <c r="C62" s="3">
        <v>2833260</v>
      </c>
      <c r="D62" s="2" t="s">
        <v>64</v>
      </c>
      <c r="F62" s="3">
        <v>2833260</v>
      </c>
      <c r="G62" s="2" t="s">
        <v>64</v>
      </c>
      <c r="I62" s="3">
        <f>F62/F61*I61</f>
        <v>2291890.6973611228</v>
      </c>
      <c r="J62" s="2" t="s">
        <v>64</v>
      </c>
    </row>
    <row r="63" spans="1:12" x14ac:dyDescent="0.3">
      <c r="A63" s="2" t="s">
        <v>65</v>
      </c>
      <c r="C63" s="3">
        <v>2872020</v>
      </c>
      <c r="D63" s="2" t="s">
        <v>65</v>
      </c>
      <c r="F63" s="3">
        <v>2872020</v>
      </c>
      <c r="G63" s="2" t="s">
        <v>65</v>
      </c>
      <c r="I63" s="3">
        <f>F63/F62*I62</f>
        <v>2323244.5736131137</v>
      </c>
      <c r="J63" s="2" t="s">
        <v>65</v>
      </c>
    </row>
    <row r="64" spans="1:12" x14ac:dyDescent="0.3">
      <c r="A64" s="2" t="s">
        <v>66</v>
      </c>
      <c r="C64" s="3">
        <v>2884320</v>
      </c>
      <c r="D64" s="2" t="s">
        <v>66</v>
      </c>
      <c r="F64" s="3">
        <v>2884320</v>
      </c>
      <c r="G64" s="2" t="s">
        <v>66</v>
      </c>
      <c r="I64" s="3">
        <f>F64/F63*I63</f>
        <v>2333194.3331048451</v>
      </c>
      <c r="J64" s="2" t="s">
        <v>66</v>
      </c>
    </row>
    <row r="65" spans="1:10" x14ac:dyDescent="0.3">
      <c r="A65" s="2" t="s">
        <v>67</v>
      </c>
      <c r="C65" s="3">
        <v>2905260</v>
      </c>
      <c r="D65" s="2" t="s">
        <v>67</v>
      </c>
      <c r="F65" s="3">
        <v>2905260</v>
      </c>
      <c r="G65" s="2" t="s">
        <v>67</v>
      </c>
      <c r="I65" s="3">
        <f>F65/F64*I64</f>
        <v>2350133.1919468655</v>
      </c>
      <c r="J65" s="2" t="s">
        <v>67</v>
      </c>
    </row>
    <row r="66" spans="1:10" x14ac:dyDescent="0.3">
      <c r="A66" s="2" t="s">
        <v>68</v>
      </c>
      <c r="C66" s="3">
        <v>2917680</v>
      </c>
      <c r="D66" s="2" t="s">
        <v>68</v>
      </c>
      <c r="F66" s="3">
        <v>2917680</v>
      </c>
      <c r="G66" s="2" t="s">
        <v>68</v>
      </c>
      <c r="I66" s="3">
        <f>F66/F65*I65</f>
        <v>2360180.0222629062</v>
      </c>
      <c r="J66" s="2" t="s">
        <v>68</v>
      </c>
    </row>
    <row r="67" spans="1:10" x14ac:dyDescent="0.3">
      <c r="A67" s="2" t="s">
        <v>69</v>
      </c>
      <c r="C67" s="3">
        <v>2999030</v>
      </c>
      <c r="D67" s="2" t="s">
        <v>69</v>
      </c>
      <c r="F67" s="3">
        <v>2999030</v>
      </c>
      <c r="G67" s="2" t="s">
        <v>69</v>
      </c>
      <c r="I67" s="3">
        <f>F67/F66*I66</f>
        <v>2425985.9519094359</v>
      </c>
      <c r="J67" s="2" t="s">
        <v>69</v>
      </c>
    </row>
    <row r="68" spans="1:10" x14ac:dyDescent="0.3">
      <c r="A68" s="2" t="s">
        <v>70</v>
      </c>
      <c r="C68" s="3">
        <v>3028830</v>
      </c>
      <c r="D68" s="2" t="s">
        <v>70</v>
      </c>
      <c r="F68" s="3">
        <v>3028830</v>
      </c>
      <c r="G68" s="2" t="s">
        <v>70</v>
      </c>
      <c r="I68" s="3">
        <f>F68/F67*I67</f>
        <v>2450091.873279646</v>
      </c>
      <c r="J68" s="2" t="s">
        <v>70</v>
      </c>
    </row>
    <row r="69" spans="1:10" x14ac:dyDescent="0.3">
      <c r="A69" s="2" t="s">
        <v>71</v>
      </c>
      <c r="C69" s="3">
        <v>3028490</v>
      </c>
      <c r="D69" s="2" t="s">
        <v>71</v>
      </c>
      <c r="F69" s="3">
        <v>3028490</v>
      </c>
      <c r="G69" s="2" t="s">
        <v>71</v>
      </c>
      <c r="I69" s="3">
        <f>F69/F68*I68</f>
        <v>2449816.8392774356</v>
      </c>
      <c r="J69" s="2" t="s">
        <v>71</v>
      </c>
    </row>
    <row r="70" spans="1:10" x14ac:dyDescent="0.3">
      <c r="A70" s="2" t="s">
        <v>72</v>
      </c>
      <c r="C70" s="3">
        <v>3082930</v>
      </c>
      <c r="D70" s="2" t="s">
        <v>72</v>
      </c>
      <c r="F70" s="3">
        <v>3082930</v>
      </c>
      <c r="G70" s="2" t="s">
        <v>72</v>
      </c>
      <c r="I70" s="3">
        <f>F70/F69*I69</f>
        <v>2493854.636572544</v>
      </c>
      <c r="J70" s="2" t="s">
        <v>72</v>
      </c>
    </row>
    <row r="71" spans="1:10" x14ac:dyDescent="0.3">
      <c r="A71" s="2" t="s">
        <v>73</v>
      </c>
      <c r="C71" s="3">
        <v>3077750</v>
      </c>
      <c r="D71" s="2" t="s">
        <v>73</v>
      </c>
      <c r="F71" s="3">
        <v>3077750</v>
      </c>
      <c r="G71" s="2" t="s">
        <v>73</v>
      </c>
      <c r="I71" s="3">
        <f>F71/F70*I70</f>
        <v>2489664.4126565144</v>
      </c>
      <c r="J71" s="2" t="s">
        <v>73</v>
      </c>
    </row>
    <row r="72" spans="1:10" x14ac:dyDescent="0.3">
      <c r="A72" s="2" t="s">
        <v>74</v>
      </c>
      <c r="C72" s="3">
        <v>3114910</v>
      </c>
      <c r="D72" s="2" t="s">
        <v>74</v>
      </c>
      <c r="F72" s="3">
        <v>3114910</v>
      </c>
      <c r="G72" s="2" t="s">
        <v>74</v>
      </c>
      <c r="I72" s="3">
        <f>F72/F71*I71</f>
        <v>2519724.0112510449</v>
      </c>
      <c r="J72" s="2" t="s">
        <v>74</v>
      </c>
    </row>
    <row r="73" spans="1:10" x14ac:dyDescent="0.3">
      <c r="A73" s="2" t="s">
        <v>75</v>
      </c>
      <c r="C73" s="3">
        <v>3087530</v>
      </c>
      <c r="D73" s="2" t="s">
        <v>75</v>
      </c>
      <c r="F73" s="3">
        <v>3087530</v>
      </c>
      <c r="G73" s="2" t="s">
        <v>75</v>
      </c>
      <c r="I73" s="3">
        <f>F73/F72*I72</f>
        <v>2497575.6848377446</v>
      </c>
      <c r="J73" s="2" t="s">
        <v>75</v>
      </c>
    </row>
    <row r="74" spans="1:10" x14ac:dyDescent="0.3">
      <c r="A74" s="2" t="s">
        <v>76</v>
      </c>
      <c r="C74" s="3">
        <v>3079150</v>
      </c>
      <c r="D74" s="2" t="s">
        <v>76</v>
      </c>
      <c r="F74" s="3">
        <v>3079150</v>
      </c>
      <c r="G74" s="2" t="s">
        <v>76</v>
      </c>
      <c r="I74" s="3">
        <f>F74/F73*I73</f>
        <v>2490796.9056067928</v>
      </c>
      <c r="J74" s="2" t="s">
        <v>76</v>
      </c>
    </row>
    <row r="75" spans="1:10" x14ac:dyDescent="0.3">
      <c r="A75" s="2" t="s">
        <v>77</v>
      </c>
      <c r="C75" s="3">
        <v>3115970</v>
      </c>
      <c r="D75" s="2" t="s">
        <v>77</v>
      </c>
      <c r="F75" s="3">
        <v>3115970</v>
      </c>
      <c r="G75" s="2" t="s">
        <v>77</v>
      </c>
      <c r="I75" s="3">
        <f>F75/F74*I74</f>
        <v>2520581.4701991128</v>
      </c>
      <c r="J75" s="2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1053D-EEE7-4A50-9FCD-6B18F7BE9580}">
  <sheetPr>
    <pageSetUpPr fitToPage="1"/>
  </sheetPr>
  <dimension ref="A1:I18"/>
  <sheetViews>
    <sheetView tabSelected="1" workbookViewId="0">
      <selection activeCell="E21" sqref="E21"/>
    </sheetView>
  </sheetViews>
  <sheetFormatPr defaultRowHeight="14.4" x14ac:dyDescent="0.3"/>
  <cols>
    <col min="1" max="1" width="28.109375" customWidth="1"/>
    <col min="2" max="2" width="12.33203125" customWidth="1"/>
    <col min="3" max="3" width="12.21875" bestFit="1" customWidth="1"/>
    <col min="4" max="4" width="11.21875" bestFit="1" customWidth="1"/>
    <col min="5" max="5" width="31.33203125" customWidth="1"/>
    <col min="6" max="6" width="10.21875" customWidth="1"/>
    <col min="7" max="7" width="3.77734375" customWidth="1"/>
    <col min="8" max="8" width="28.5546875" bestFit="1" customWidth="1"/>
  </cols>
  <sheetData>
    <row r="1" spans="1:9" x14ac:dyDescent="0.3">
      <c r="A1" t="s">
        <v>89</v>
      </c>
    </row>
    <row r="2" spans="1:9" x14ac:dyDescent="0.3">
      <c r="F2" s="7"/>
    </row>
    <row r="3" spans="1:9" x14ac:dyDescent="0.3">
      <c r="B3">
        <v>202510</v>
      </c>
      <c r="C3">
        <v>202511</v>
      </c>
      <c r="D3">
        <v>202512</v>
      </c>
    </row>
    <row r="5" spans="1:9" x14ac:dyDescent="0.3">
      <c r="A5" t="s">
        <v>84</v>
      </c>
      <c r="B5" s="8">
        <v>30000</v>
      </c>
      <c r="C5" s="8">
        <v>100000</v>
      </c>
      <c r="D5" s="8">
        <v>20000</v>
      </c>
      <c r="E5" s="9"/>
      <c r="F5" s="11"/>
    </row>
    <row r="6" spans="1:9" x14ac:dyDescent="0.3">
      <c r="A6" t="s">
        <v>85</v>
      </c>
      <c r="B6" s="6">
        <v>10</v>
      </c>
      <c r="C6" s="6">
        <v>1</v>
      </c>
      <c r="D6" s="6">
        <v>4</v>
      </c>
      <c r="I6" s="6"/>
    </row>
    <row r="7" spans="1:9" x14ac:dyDescent="0.3">
      <c r="A7" t="s">
        <v>86</v>
      </c>
      <c r="B7" s="8">
        <f>B5/B6</f>
        <v>3000</v>
      </c>
      <c r="C7" s="8">
        <f>C5/C6</f>
        <v>100000</v>
      </c>
      <c r="D7" s="8">
        <f>D5/D6</f>
        <v>5000</v>
      </c>
      <c r="H7" s="10"/>
      <c r="I7" s="13"/>
    </row>
    <row r="10" spans="1:9" x14ac:dyDescent="0.3">
      <c r="A10" s="15" t="s">
        <v>81</v>
      </c>
    </row>
    <row r="12" spans="1:9" x14ac:dyDescent="0.3">
      <c r="A12" t="s">
        <v>82</v>
      </c>
      <c r="B12" s="10" t="s">
        <v>91</v>
      </c>
      <c r="F12" s="14">
        <f>AVERAGE(B5:D5)</f>
        <v>50000</v>
      </c>
    </row>
    <row r="14" spans="1:9" x14ac:dyDescent="0.3">
      <c r="A14" t="s">
        <v>90</v>
      </c>
      <c r="B14" s="16" t="s">
        <v>87</v>
      </c>
      <c r="E14" s="9"/>
      <c r="F14" s="12">
        <f>AVERAGE(B7:D7)</f>
        <v>36000</v>
      </c>
    </row>
    <row r="15" spans="1:9" x14ac:dyDescent="0.3">
      <c r="B15" t="s">
        <v>83</v>
      </c>
      <c r="F15" s="17">
        <f>(B6+C6+D6)/3</f>
        <v>5</v>
      </c>
    </row>
    <row r="16" spans="1:9" x14ac:dyDescent="0.3">
      <c r="B16" s="16" t="s">
        <v>88</v>
      </c>
      <c r="F16" s="12">
        <f>F14*F15</f>
        <v>180000</v>
      </c>
    </row>
    <row r="18" spans="6:6" x14ac:dyDescent="0.3">
      <c r="F18" s="6"/>
    </row>
  </sheetData>
  <pageMargins left="0.7" right="0.7" top="0.75" bottom="0.75" header="0.3" footer="0.3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Hanus</dc:creator>
  <cp:lastModifiedBy>Larry Hanus</cp:lastModifiedBy>
  <cp:lastPrinted>2026-01-19T16:14:54Z</cp:lastPrinted>
  <dcterms:created xsi:type="dcterms:W3CDTF">2026-01-14T13:25:36Z</dcterms:created>
  <dcterms:modified xsi:type="dcterms:W3CDTF">2026-01-19T16:35:17Z</dcterms:modified>
</cp:coreProperties>
</file>